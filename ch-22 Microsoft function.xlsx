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firstSheet="1" activeTab="9"/>
  </bookViews>
  <sheets>
    <sheet name="GroupBy" sheetId="1" r:id="rId1"/>
    <sheet name="ToCol" sheetId="2" r:id="rId2"/>
    <sheet name="ToRow" sheetId="3" r:id="rId3"/>
    <sheet name="VStack" sheetId="5" r:id="rId4"/>
    <sheet name="HSTACK" sheetId="6" r:id="rId5"/>
    <sheet name="Data" sheetId="7" r:id="rId6"/>
    <sheet name="Take" sheetId="9" r:id="rId7"/>
    <sheet name="Drop" sheetId="10" r:id="rId8"/>
    <sheet name="choosecol" sheetId="11" r:id="rId9"/>
    <sheet name="ChooseRow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<sst xmlns="http://schemas.openxmlformats.org/spreadsheetml/2006/main" count="865" uniqueCount="291">
  <si>
    <t>Order_ID</t>
  </si>
  <si>
    <t>Order_Date</t>
  </si>
  <si>
    <t>Branch</t>
  </si>
  <si>
    <t>Pizza_Size</t>
  </si>
  <si>
    <t>Order_Type</t>
  </si>
  <si>
    <t>Pizza_Category</t>
  </si>
  <si>
    <t>Quantity</t>
  </si>
  <si>
    <t>Unit_Price</t>
  </si>
  <si>
    <t>Gross_Amount</t>
  </si>
  <si>
    <t>Discount_Percent</t>
  </si>
  <si>
    <t>Net_Amount</t>
  </si>
  <si>
    <t>Summarize total pizza sales amount by Branch and Pizza_Size per Day.</t>
  </si>
  <si>
    <t>ORD-1000</t>
  </si>
  <si>
    <t>07-01-2025 00:00:00</t>
  </si>
  <si>
    <t>Airport</t>
  </si>
  <si>
    <t>Large</t>
  </si>
  <si>
    <t>Dine-In</t>
  </si>
  <si>
    <t>Vegan</t>
  </si>
  <si>
    <t>ORD-1001</t>
  </si>
  <si>
    <t>20-01-2025 00:00:00</t>
  </si>
  <si>
    <t>Downtown</t>
  </si>
  <si>
    <t>Delivery</t>
  </si>
  <si>
    <t>Non-Veg</t>
  </si>
  <si>
    <t>ORD-1002</t>
  </si>
  <si>
    <t>29-01-2025 00:00:00</t>
  </si>
  <si>
    <t>Small</t>
  </si>
  <si>
    <t>ORD-1003</t>
  </si>
  <si>
    <t>15-01-2025 00:00:00</t>
  </si>
  <si>
    <t>Veg</t>
  </si>
  <si>
    <t>ORD-1004</t>
  </si>
  <si>
    <t>11-01-2025 00:00:00</t>
  </si>
  <si>
    <t>ORD-1005</t>
  </si>
  <si>
    <t>08-01-2025 00:00:00</t>
  </si>
  <si>
    <t>Medium</t>
  </si>
  <si>
    <t>ORD-1006</t>
  </si>
  <si>
    <t>Takeaway</t>
  </si>
  <si>
    <t>ORD-1007</t>
  </si>
  <si>
    <t>21-01-2025 00:00:00</t>
  </si>
  <si>
    <t>ORD-1008</t>
  </si>
  <si>
    <t>ORD-1009</t>
  </si>
  <si>
    <t>26-01-2025 00:00:00</t>
  </si>
  <si>
    <t>Uptown</t>
  </si>
  <si>
    <t>ORD-1010</t>
  </si>
  <si>
    <t>19-01-2025 00:00:00</t>
  </si>
  <si>
    <t>ORD-1011</t>
  </si>
  <si>
    <t>23-01-2025 00:00:00</t>
  </si>
  <si>
    <t>ORD-1012</t>
  </si>
  <si>
    <t>ORD-1013</t>
  </si>
  <si>
    <t>ORD-1014</t>
  </si>
  <si>
    <t>24-01-2025 00:00:00</t>
  </si>
  <si>
    <t>ORD-1015</t>
  </si>
  <si>
    <t>ORD-1016</t>
  </si>
  <si>
    <t>04-01-2025 00:00:00</t>
  </si>
  <si>
    <t>ORD-1017</t>
  </si>
  <si>
    <t>ORD-1018</t>
  </si>
  <si>
    <t>ORD-1019</t>
  </si>
  <si>
    <t>03-01-2025 00:00:00</t>
  </si>
  <si>
    <t>ORD-1020</t>
  </si>
  <si>
    <t>22-01-2025 00:00:00</t>
  </si>
  <si>
    <t>ORD-1021</t>
  </si>
  <si>
    <t>ORD-1022</t>
  </si>
  <si>
    <t>02-01-2025 00:00:00</t>
  </si>
  <si>
    <t>ORD-1023</t>
  </si>
  <si>
    <t>ORD-1024</t>
  </si>
  <si>
    <t>12-01-2025 00:00:00</t>
  </si>
  <si>
    <t>ORD-1025</t>
  </si>
  <si>
    <t>30-01-2025 00:00:00</t>
  </si>
  <si>
    <t>ORD-1026</t>
  </si>
  <si>
    <t>06-01-2025 00:00:00</t>
  </si>
  <si>
    <t>ORD-1027</t>
  </si>
  <si>
    <t>ORD-1028</t>
  </si>
  <si>
    <t>28-01-2025 00:00:00</t>
  </si>
  <si>
    <t>ORD-1029</t>
  </si>
  <si>
    <t>ORD-1030</t>
  </si>
  <si>
    <t>01-01-2025 00:00:00</t>
  </si>
  <si>
    <t>ORD-1031</t>
  </si>
  <si>
    <t>ORD-1032</t>
  </si>
  <si>
    <t>ORD-1033</t>
  </si>
  <si>
    <t>ORD-1034</t>
  </si>
  <si>
    <t>ORD-1035</t>
  </si>
  <si>
    <t>ORD-1036</t>
  </si>
  <si>
    <t>25-01-2025 00:00:00</t>
  </si>
  <si>
    <t>ORD-1037</t>
  </si>
  <si>
    <t>17-01-2025 00:00:00</t>
  </si>
  <si>
    <t>ORD-1038</t>
  </si>
  <si>
    <t>27-01-2025 00:00:00</t>
  </si>
  <si>
    <t>ORD-1039</t>
  </si>
  <si>
    <t>ORD-1040</t>
  </si>
  <si>
    <t>10-01-2025 00:00:00</t>
  </si>
  <si>
    <t>ORD-1041</t>
  </si>
  <si>
    <t>ORD-1042</t>
  </si>
  <si>
    <t>ORD-1043</t>
  </si>
  <si>
    <t>16-01-2025 00:00:00</t>
  </si>
  <si>
    <t>ORD-1044</t>
  </si>
  <si>
    <t>ORD-1045</t>
  </si>
  <si>
    <t>ORD-1046</t>
  </si>
  <si>
    <t>ORD-1047</t>
  </si>
  <si>
    <t>ORD-1048</t>
  </si>
  <si>
    <t>ORD-1049</t>
  </si>
  <si>
    <t>Month/Day</t>
  </si>
  <si>
    <t>May</t>
  </si>
  <si>
    <t>June</t>
  </si>
  <si>
    <t>May sales</t>
  </si>
  <si>
    <t>June sales</t>
  </si>
  <si>
    <t>All sales</t>
  </si>
  <si>
    <t>John Smith</t>
  </si>
  <si>
    <t>Olivia Thomas</t>
  </si>
  <si>
    <t>Sarah Johnson</t>
  </si>
  <si>
    <t>Benjamin Martin</t>
  </si>
  <si>
    <t>Ava White</t>
  </si>
  <si>
    <t>Jessica Davis</t>
  </si>
  <si>
    <t>Lucas Harris</t>
  </si>
  <si>
    <t>William Miller</t>
  </si>
  <si>
    <t>Emily Wilson</t>
  </si>
  <si>
    <t>Henry Lewis</t>
  </si>
  <si>
    <t>Isabella Lee</t>
  </si>
  <si>
    <t>Sophia Taylor</t>
  </si>
  <si>
    <t>Amelia Hall</t>
  </si>
  <si>
    <t>James Anderson</t>
  </si>
  <si>
    <t>May Customers</t>
  </si>
  <si>
    <t>June Customers</t>
  </si>
  <si>
    <t>All Customers</t>
  </si>
  <si>
    <t>All but Unique Customers</t>
  </si>
  <si>
    <t>2025 Joiners</t>
  </si>
  <si>
    <t>Emp_ID</t>
  </si>
  <si>
    <t>Employee_name</t>
  </si>
  <si>
    <t>Employee_Gender</t>
  </si>
  <si>
    <t>Employee_DOB</t>
  </si>
  <si>
    <t>Amy Peterson</t>
  </si>
  <si>
    <t>Male</t>
  </si>
  <si>
    <t>8/19/2004</t>
  </si>
  <si>
    <t>Karen Shepherd</t>
  </si>
  <si>
    <t>Christopher Mendez</t>
  </si>
  <si>
    <t>Female</t>
  </si>
  <si>
    <t>Clayton Torres</t>
  </si>
  <si>
    <t>9/28/1999</t>
  </si>
  <si>
    <t>Nicholas Jenkins</t>
  </si>
  <si>
    <t>Miss Tammy Smith</t>
  </si>
  <si>
    <t>1/18/1978</t>
  </si>
  <si>
    <t>Andres Simpson</t>
  </si>
  <si>
    <t>Barbara Brown</t>
  </si>
  <si>
    <t>Julie Mcdaniel</t>
  </si>
  <si>
    <t>1/30/1992</t>
  </si>
  <si>
    <t>Christopher Gross</t>
  </si>
  <si>
    <t>James Smith</t>
  </si>
  <si>
    <t>Jason Johnson</t>
  </si>
  <si>
    <t>2024 Joiners</t>
  </si>
  <si>
    <t>Kathryn Bailey</t>
  </si>
  <si>
    <t>Timothy Mueller</t>
  </si>
  <si>
    <t>3/26/1991</t>
  </si>
  <si>
    <t>Miss Carrie Newton</t>
  </si>
  <si>
    <t>Debbie Martinez</t>
  </si>
  <si>
    <t>Patricia Anderson</t>
  </si>
  <si>
    <t>2/20/1981</t>
  </si>
  <si>
    <t>Joshua Taylor</t>
  </si>
  <si>
    <t>7/20/1998</t>
  </si>
  <si>
    <t>Samantha Vasquez</t>
  </si>
  <si>
    <t>Mr. Michael Scott</t>
  </si>
  <si>
    <t>Bianca Wong</t>
  </si>
  <si>
    <t>1/17/1993</t>
  </si>
  <si>
    <t>Willie Martinez</t>
  </si>
  <si>
    <t>Tracey Gonzalez</t>
  </si>
  <si>
    <t>Jessica Lynch</t>
  </si>
  <si>
    <t>Autumn Murphy</t>
  </si>
  <si>
    <t>2023 Joiners</t>
  </si>
  <si>
    <t>Andrea Gonzalez</t>
  </si>
  <si>
    <t>Sarah Griffin</t>
  </si>
  <si>
    <t>Kent Brown</t>
  </si>
  <si>
    <t>Donna Garcia</t>
  </si>
  <si>
    <t>Brian Mitchell</t>
  </si>
  <si>
    <t>3/19/1988</t>
  </si>
  <si>
    <t>Michael Foster</t>
  </si>
  <si>
    <t>Angela Hubbard</t>
  </si>
  <si>
    <t>Keith Peters</t>
  </si>
  <si>
    <t>Jonathan Salazar</t>
  </si>
  <si>
    <t>Basic Info of Employees</t>
  </si>
  <si>
    <t>Emp_Mobile Number</t>
  </si>
  <si>
    <t>Employee_Email_ID</t>
  </si>
  <si>
    <t>erandall@example.net</t>
  </si>
  <si>
    <t>thynovak@example.net</t>
  </si>
  <si>
    <t>ttany96@example.net</t>
  </si>
  <si>
    <t>fordrenee@example.net</t>
  </si>
  <si>
    <t>jacqueline@example.net</t>
  </si>
  <si>
    <t>wthomas@example.com</t>
  </si>
  <si>
    <t>hakaren@example.net</t>
  </si>
  <si>
    <t>fflynn@example.org</t>
  </si>
  <si>
    <t>christopher@example.org</t>
  </si>
  <si>
    <t>iaul72@example.org</t>
  </si>
  <si>
    <t>tonbrian@example.net</t>
  </si>
  <si>
    <t>olloyd@example.org</t>
  </si>
  <si>
    <t>Reporting_manager_ID</t>
  </si>
  <si>
    <t>Department</t>
  </si>
  <si>
    <t>Branch_ID</t>
  </si>
  <si>
    <t>Job_Title</t>
  </si>
  <si>
    <t>Operations</t>
  </si>
  <si>
    <t>CEO</t>
  </si>
  <si>
    <t>HR</t>
  </si>
  <si>
    <t>COO</t>
  </si>
  <si>
    <t>IT</t>
  </si>
  <si>
    <t>CFO</t>
  </si>
  <si>
    <t>CHRO</t>
  </si>
  <si>
    <t>Manager</t>
  </si>
  <si>
    <t>Sales</t>
  </si>
  <si>
    <t>Cashier</t>
  </si>
  <si>
    <t>Finance</t>
  </si>
  <si>
    <t>Delivery Driver</t>
  </si>
  <si>
    <t>Chef</t>
  </si>
  <si>
    <t>Employee_address</t>
  </si>
  <si>
    <t>Employee_DOJ</t>
  </si>
  <si>
    <t>Employment_Type</t>
  </si>
  <si>
    <t>Employee_Employment_status</t>
  </si>
  <si>
    <t>Current_Annual_Cost</t>
  </si>
  <si>
    <t>Employment_level</t>
  </si>
  <si>
    <t>Manager_Non_Manager_tag</t>
  </si>
  <si>
    <t>adow Suite 111 Nor</t>
  </si>
  <si>
    <t>ricerandall@example.net</t>
  </si>
  <si>
    <t>Part-time</t>
  </si>
  <si>
    <t>Active</t>
  </si>
  <si>
    <t>Senior</t>
  </si>
  <si>
    <t>59 Box 8468 DPO A</t>
  </si>
  <si>
    <t>timothynovak@example.net</t>
  </si>
  <si>
    <t>Contract</t>
  </si>
  <si>
    <t>59 Box 993 East D</t>
  </si>
  <si>
    <t>brittany96@example.net</t>
  </si>
  <si>
    <t>e Suite 825 Kevinb</t>
  </si>
  <si>
    <t>bradfordrenee@example.net</t>
  </si>
  <si>
    <t>Full-time</t>
  </si>
  <si>
    <t>ird Plaza Markstad</t>
  </si>
  <si>
    <t>lopezjacqueline@example.net</t>
  </si>
  <si>
    <t>Inactive</t>
  </si>
  <si>
    <t>Entry</t>
  </si>
  <si>
    <t>Orchard Anthonys</t>
  </si>
  <si>
    <t>andrewthomas@example.com</t>
  </si>
  <si>
    <t>Non-Manager</t>
  </si>
  <si>
    <t>re Apt 788 Bowma</t>
  </si>
  <si>
    <t>lunakaren@example.net</t>
  </si>
  <si>
    <t>Bridge South Davidi</t>
  </si>
  <si>
    <t>dlflynn@example.org</t>
  </si>
  <si>
    <t>Lead</t>
  </si>
  <si>
    <t>Drive Lake Kayport</t>
  </si>
  <si>
    <t>wilsonchristopher@example.org</t>
  </si>
  <si>
    <t>3 Box 1167 APO A</t>
  </si>
  <si>
    <t>paul72@example.org</t>
  </si>
  <si>
    <t>Mid</t>
  </si>
  <si>
    <t>res Suite 757 Nicho</t>
  </si>
  <si>
    <t>nortonbrian@example.net</t>
  </si>
  <si>
    <t>Suite 731 Lake Lau</t>
  </si>
  <si>
    <t>isions Apt 938 Jon</t>
  </si>
  <si>
    <t>smithkaren@example.com</t>
  </si>
  <si>
    <t>Island North Jonat</t>
  </si>
  <si>
    <t>tinawright@example.net</t>
  </si>
  <si>
    <t>ns Suite 082 Aman</t>
  </si>
  <si>
    <t>bradley00@example.com</t>
  </si>
  <si>
    <t>nk Burg West Larry</t>
  </si>
  <si>
    <t>hansenallison@example.com</t>
  </si>
  <si>
    <t>Assistant Manager</t>
  </si>
  <si>
    <t>ris Club Longcheste</t>
  </si>
  <si>
    <t>nberg@example.org</t>
  </si>
  <si>
    <t>ssway New Kaylabc</t>
  </si>
  <si>
    <t>vhill@example.net</t>
  </si>
  <si>
    <t>rry New Taraborou</t>
  </si>
  <si>
    <t>vlee@example.org</t>
  </si>
  <si>
    <t>Mr Michael Scott</t>
  </si>
  <si>
    <t>Apt 360 Benjamin</t>
  </si>
  <si>
    <t>blacknathaniel@example.org</t>
  </si>
  <si>
    <t>Mount West Bran</t>
  </si>
  <si>
    <t>aaronhill@example.com</t>
  </si>
  <si>
    <t>dens Apt 971 Port</t>
  </si>
  <si>
    <t>davidjohnson@example.org</t>
  </si>
  <si>
    <t>lain North Marios</t>
  </si>
  <si>
    <t>ana79@example.org</t>
  </si>
  <si>
    <t>lain Port Lorihans</t>
  </si>
  <si>
    <t>lewiseric@example.org</t>
  </si>
  <si>
    <t>lain Suite 435 Joser</t>
  </si>
  <si>
    <t>rhonda28@example.org</t>
  </si>
  <si>
    <t>ills Apt 218 Carri</t>
  </si>
  <si>
    <t>beckerrebecca@example.org</t>
  </si>
  <si>
    <t>rest South Rickyb</t>
  </si>
  <si>
    <t>jschneider@example.net</t>
  </si>
  <si>
    <t>Stream Davidberg</t>
  </si>
  <si>
    <t>richardklein@example.org</t>
  </si>
  <si>
    <t>n Harbors Port Ma</t>
  </si>
  <si>
    <t>ndavis@example.net</t>
  </si>
  <si>
    <t>Junction Aaronme</t>
  </si>
  <si>
    <t>maryvelez@example.com</t>
  </si>
  <si>
    <t>ads Suite 788 East</t>
  </si>
  <si>
    <t>reneebranch@example.com</t>
  </si>
  <si>
    <t>0 Box 8694 APO A</t>
  </si>
  <si>
    <t>yabbott@example.net</t>
  </si>
  <si>
    <t>Mews Lake Brittne</t>
  </si>
  <si>
    <t>xevans@example.net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</si>
</sst>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dd/mm/yyyy"/>
    <numFmt numFmtId="182" formatCode="dd/mm/yyyy;@"/>
    <numFmt numFmtId="183" formatCode="dd\/mm\/yyyy"/>
    <numFmt numFmtId="184" formatCode="h:mm:ss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82" fontId="2" fillId="4" borderId="0" xfId="0" applyNumberFormat="1" applyFont="1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4" fontId="0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"/>
  <sheetViews>
    <sheetView topLeftCell="G12" workbookViewId="0">
      <selection activeCell="Q19" sqref="Q19"/>
    </sheetView>
  </sheetViews>
  <sheetFormatPr defaultColWidth="8.72727272727273" defaultRowHeight="14.5"/>
  <cols>
    <col min="1" max="1" width="9.90909090909091" customWidth="1"/>
    <col min="2" max="2" width="19.4545454545455" style="11" customWidth="1"/>
    <col min="3" max="3" width="10.8181818181818" customWidth="1"/>
    <col min="4" max="4" width="9.81818181818182" customWidth="1"/>
    <col min="5" max="5" width="11.6363636363636" customWidth="1"/>
    <col min="6" max="6" width="14.5454545454545" customWidth="1"/>
    <col min="7" max="7" width="8.72727272727273" customWidth="1"/>
    <col min="8" max="8" width="10" customWidth="1"/>
    <col min="9" max="9" width="14.5454545454545" customWidth="1"/>
    <col min="10" max="10" width="16.9090909090909" customWidth="1"/>
    <col min="11" max="11" width="12.4545454545455" customWidth="1"/>
    <col min="13" max="13" width="6.63636363636364" customWidth="1"/>
    <col min="14" max="14" width="4.63636363636364" customWidth="1"/>
    <col min="15" max="15" width="12.3636363636364" customWidth="1"/>
    <col min="16" max="16" width="12.9090909090909" customWidth="1"/>
    <col min="17" max="17" width="15.2727272727273" customWidth="1"/>
    <col min="18" max="18" width="7.27272727272727" customWidth="1"/>
    <col min="19" max="19" width="6.54545454545455" customWidth="1"/>
    <col min="20" max="20" width="3.09090909090909" customWidth="1"/>
    <col min="21" max="21" width="11.3636363636364" customWidth="1"/>
    <col min="22" max="22" width="14.8181818181818" customWidth="1"/>
    <col min="23" max="23" width="9.45454545454546" customWidth="1"/>
    <col min="24" max="24" width="13.0909090909091" customWidth="1"/>
    <col min="25" max="25" width="9" customWidth="1"/>
    <col min="26" max="26" width="7.63636363636364" customWidth="1"/>
  </cols>
  <sheetData>
    <row r="1" spans="1:2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P1" s="11" t="s">
        <v>11</v>
      </c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9" t="s">
        <v>12</v>
      </c>
      <c r="B2" s="21" t="s">
        <v>13</v>
      </c>
      <c r="C2" s="19" t="s">
        <v>14</v>
      </c>
      <c r="D2" s="19" t="s">
        <v>15</v>
      </c>
      <c r="E2" s="19" t="s">
        <v>16</v>
      </c>
      <c r="F2" s="19" t="s">
        <v>17</v>
      </c>
      <c r="G2" s="19">
        <v>3</v>
      </c>
      <c r="H2" s="19">
        <v>349</v>
      </c>
      <c r="I2" s="19">
        <v>1047</v>
      </c>
      <c r="J2" s="19">
        <v>15</v>
      </c>
      <c r="K2" s="19">
        <v>889.95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9" t="s">
        <v>18</v>
      </c>
      <c r="B3" s="21" t="s">
        <v>19</v>
      </c>
      <c r="C3" s="19" t="s">
        <v>20</v>
      </c>
      <c r="D3" s="19" t="s">
        <v>15</v>
      </c>
      <c r="E3" s="19" t="s">
        <v>21</v>
      </c>
      <c r="F3" s="19" t="s">
        <v>22</v>
      </c>
      <c r="G3" s="19">
        <v>1</v>
      </c>
      <c r="H3" s="19">
        <v>349</v>
      </c>
      <c r="I3" s="19">
        <v>349</v>
      </c>
      <c r="J3" s="19">
        <v>0</v>
      </c>
      <c r="K3" s="19">
        <v>349</v>
      </c>
      <c r="O3" t="str" cm="1">
        <f t="array" ref="O3:Q12">_xlfn.GROUPBY(C1:D51,K1:K51,_xleta.SUM,3,0,1,,)</f>
        <v>Branch</v>
      </c>
      <c r="P3" t="str">
        <v>Pizza_Size</v>
      </c>
      <c r="Q3" t="str">
        <v>Net_Amount</v>
      </c>
    </row>
    <row r="4" spans="1:26">
      <c r="A4" s="19" t="s">
        <v>23</v>
      </c>
      <c r="B4" s="21" t="s">
        <v>24</v>
      </c>
      <c r="C4" s="19" t="s">
        <v>14</v>
      </c>
      <c r="D4" s="19" t="s">
        <v>25</v>
      </c>
      <c r="E4" s="19" t="s">
        <v>16</v>
      </c>
      <c r="F4" s="19" t="s">
        <v>17</v>
      </c>
      <c r="G4" s="19">
        <v>1</v>
      </c>
      <c r="H4" s="19">
        <v>299</v>
      </c>
      <c r="I4" s="19">
        <v>299</v>
      </c>
      <c r="J4" s="19">
        <v>0</v>
      </c>
      <c r="K4" s="19">
        <v>299</v>
      </c>
      <c r="O4" t="str">
        <v>Airport</v>
      </c>
      <c r="P4" t="str">
        <v>Large</v>
      </c>
      <c r="Q4">
        <v>5283.15</v>
      </c>
    </row>
    <row r="5" spans="1:26">
      <c r="A5" s="19" t="s">
        <v>26</v>
      </c>
      <c r="B5" s="21" t="s">
        <v>27</v>
      </c>
      <c r="C5" s="19" t="s">
        <v>20</v>
      </c>
      <c r="D5" s="19" t="s">
        <v>15</v>
      </c>
      <c r="E5" s="19" t="s">
        <v>16</v>
      </c>
      <c r="F5" s="19" t="s">
        <v>28</v>
      </c>
      <c r="G5" s="19">
        <v>4</v>
      </c>
      <c r="H5" s="19">
        <v>199</v>
      </c>
      <c r="I5" s="19">
        <v>796</v>
      </c>
      <c r="J5" s="19">
        <v>5</v>
      </c>
      <c r="K5" s="19">
        <v>756.2</v>
      </c>
      <c r="O5" t="str">
        <v>Airport</v>
      </c>
      <c r="P5" t="str">
        <v>Medium</v>
      </c>
      <c r="Q5">
        <v>1273.6</v>
      </c>
    </row>
    <row r="6" spans="1:26">
      <c r="A6" s="19" t="s">
        <v>29</v>
      </c>
      <c r="B6" s="21" t="s">
        <v>30</v>
      </c>
      <c r="C6" s="19" t="s">
        <v>14</v>
      </c>
      <c r="D6" s="19" t="s">
        <v>15</v>
      </c>
      <c r="E6" s="19" t="s">
        <v>16</v>
      </c>
      <c r="F6" s="19" t="s">
        <v>22</v>
      </c>
      <c r="G6" s="19">
        <v>3</v>
      </c>
      <c r="H6" s="19">
        <v>299</v>
      </c>
      <c r="I6" s="19">
        <v>897</v>
      </c>
      <c r="J6" s="19">
        <v>0</v>
      </c>
      <c r="K6" s="19">
        <v>897</v>
      </c>
      <c r="O6" t="str">
        <v>Airport</v>
      </c>
      <c r="P6" t="str">
        <v>Small</v>
      </c>
      <c r="Q6">
        <v>2082.3</v>
      </c>
    </row>
    <row r="7" spans="1:26">
      <c r="A7" s="19" t="s">
        <v>31</v>
      </c>
      <c r="B7" s="21" t="s">
        <v>32</v>
      </c>
      <c r="C7" s="19" t="s">
        <v>14</v>
      </c>
      <c r="D7" s="19" t="s">
        <v>33</v>
      </c>
      <c r="E7" s="19" t="s">
        <v>16</v>
      </c>
      <c r="F7" s="19" t="s">
        <v>28</v>
      </c>
      <c r="G7" s="19">
        <v>5</v>
      </c>
      <c r="H7" s="19">
        <v>199</v>
      </c>
      <c r="I7" s="19">
        <v>995</v>
      </c>
      <c r="J7" s="19">
        <v>10</v>
      </c>
      <c r="K7" s="19">
        <v>895.5</v>
      </c>
      <c r="O7" t="str">
        <v>Downtown</v>
      </c>
      <c r="P7" t="str">
        <v>Large</v>
      </c>
      <c r="Q7">
        <v>4219.55</v>
      </c>
    </row>
    <row r="8" spans="1:26">
      <c r="A8" s="19" t="s">
        <v>34</v>
      </c>
      <c r="B8" s="21" t="s">
        <v>24</v>
      </c>
      <c r="C8" s="19" t="s">
        <v>20</v>
      </c>
      <c r="D8" s="19" t="s">
        <v>33</v>
      </c>
      <c r="E8" s="19" t="s">
        <v>35</v>
      </c>
      <c r="F8" s="19" t="s">
        <v>28</v>
      </c>
      <c r="G8" s="19">
        <v>3</v>
      </c>
      <c r="H8" s="19">
        <v>399</v>
      </c>
      <c r="I8" s="19">
        <v>1197</v>
      </c>
      <c r="J8" s="19">
        <v>10</v>
      </c>
      <c r="K8" s="19">
        <v>1077.3</v>
      </c>
      <c r="O8" t="str">
        <v>Downtown</v>
      </c>
      <c r="P8" t="str">
        <v>Medium</v>
      </c>
      <c r="Q8">
        <v>2403.5</v>
      </c>
    </row>
    <row r="9" spans="1:26">
      <c r="A9" s="19" t="s">
        <v>36</v>
      </c>
      <c r="B9" s="21" t="s">
        <v>37</v>
      </c>
      <c r="C9" s="19" t="s">
        <v>20</v>
      </c>
      <c r="D9" s="19" t="s">
        <v>25</v>
      </c>
      <c r="E9" s="19" t="s">
        <v>16</v>
      </c>
      <c r="F9" s="19" t="s">
        <v>17</v>
      </c>
      <c r="G9" s="19">
        <v>4</v>
      </c>
      <c r="H9" s="19">
        <v>249</v>
      </c>
      <c r="I9" s="19">
        <v>996</v>
      </c>
      <c r="J9" s="19">
        <v>15</v>
      </c>
      <c r="K9" s="19">
        <v>846.6</v>
      </c>
      <c r="O9" t="str">
        <v>Downtown</v>
      </c>
      <c r="P9" t="str">
        <v>Small</v>
      </c>
      <c r="Q9">
        <v>3093.45</v>
      </c>
    </row>
    <row r="10" spans="1:26">
      <c r="A10" s="19" t="s">
        <v>38</v>
      </c>
      <c r="B10" s="21" t="s">
        <v>13</v>
      </c>
      <c r="C10" s="19" t="s">
        <v>14</v>
      </c>
      <c r="D10" s="19" t="s">
        <v>15</v>
      </c>
      <c r="E10" s="19" t="s">
        <v>16</v>
      </c>
      <c r="F10" s="19" t="s">
        <v>22</v>
      </c>
      <c r="G10" s="19">
        <v>4</v>
      </c>
      <c r="H10" s="19">
        <v>249</v>
      </c>
      <c r="I10" s="19">
        <v>996</v>
      </c>
      <c r="J10" s="19">
        <v>0</v>
      </c>
      <c r="K10" s="19">
        <v>996</v>
      </c>
      <c r="O10" t="str">
        <v>Uptown</v>
      </c>
      <c r="P10" t="str">
        <v>Large</v>
      </c>
      <c r="Q10">
        <v>4901.5</v>
      </c>
    </row>
    <row r="11" spans="1:26">
      <c r="A11" s="19" t="s">
        <v>39</v>
      </c>
      <c r="B11" s="21" t="s">
        <v>40</v>
      </c>
      <c r="C11" s="19" t="s">
        <v>41</v>
      </c>
      <c r="D11" s="19" t="s">
        <v>15</v>
      </c>
      <c r="E11" s="19" t="s">
        <v>16</v>
      </c>
      <c r="F11" s="19" t="s">
        <v>17</v>
      </c>
      <c r="G11" s="19">
        <v>3</v>
      </c>
      <c r="H11" s="19">
        <v>249</v>
      </c>
      <c r="I11" s="19">
        <v>747</v>
      </c>
      <c r="J11" s="19">
        <v>15</v>
      </c>
      <c r="K11" s="19">
        <v>634.95</v>
      </c>
      <c r="O11" t="str">
        <v>Uptown</v>
      </c>
      <c r="P11" t="str">
        <v>Medium</v>
      </c>
      <c r="Q11">
        <v>7152.4</v>
      </c>
    </row>
    <row r="12" spans="1:26">
      <c r="A12" s="19" t="s">
        <v>42</v>
      </c>
      <c r="B12" s="21" t="s">
        <v>43</v>
      </c>
      <c r="C12" s="19" t="s">
        <v>20</v>
      </c>
      <c r="D12" s="19" t="s">
        <v>15</v>
      </c>
      <c r="E12" s="19" t="s">
        <v>35</v>
      </c>
      <c r="F12" s="19" t="s">
        <v>17</v>
      </c>
      <c r="G12" s="19">
        <v>4</v>
      </c>
      <c r="H12" s="19">
        <v>299</v>
      </c>
      <c r="I12" s="19">
        <v>1196</v>
      </c>
      <c r="J12" s="19">
        <v>10</v>
      </c>
      <c r="K12" s="19">
        <v>1076.4</v>
      </c>
      <c r="O12" t="str">
        <v>Uptown</v>
      </c>
      <c r="P12" t="str">
        <v>Small</v>
      </c>
      <c r="Q12">
        <v>7328</v>
      </c>
    </row>
    <row r="13" spans="1:26">
      <c r="A13" s="19" t="s">
        <v>44</v>
      </c>
      <c r="B13" s="21" t="s">
        <v>45</v>
      </c>
      <c r="C13" s="19" t="s">
        <v>41</v>
      </c>
      <c r="D13" s="19" t="s">
        <v>25</v>
      </c>
      <c r="E13" s="19" t="s">
        <v>16</v>
      </c>
      <c r="F13" s="19" t="s">
        <v>22</v>
      </c>
      <c r="G13" s="19">
        <v>3</v>
      </c>
      <c r="H13" s="19">
        <v>399</v>
      </c>
      <c r="I13" s="19">
        <v>1197</v>
      </c>
      <c r="J13" s="19">
        <v>0</v>
      </c>
      <c r="K13" s="19">
        <v>1197</v>
      </c>
    </row>
    <row r="14" spans="1:26">
      <c r="A14" s="19" t="s">
        <v>46</v>
      </c>
      <c r="B14" s="21" t="s">
        <v>30</v>
      </c>
      <c r="C14" s="19" t="s">
        <v>41</v>
      </c>
      <c r="D14" s="19" t="s">
        <v>25</v>
      </c>
      <c r="E14" s="19" t="s">
        <v>16</v>
      </c>
      <c r="F14" s="19" t="s">
        <v>28</v>
      </c>
      <c r="G14" s="19">
        <v>2</v>
      </c>
      <c r="H14" s="19">
        <v>199</v>
      </c>
      <c r="I14" s="19">
        <v>398</v>
      </c>
      <c r="J14" s="19">
        <v>0</v>
      </c>
      <c r="K14" s="19">
        <v>398</v>
      </c>
    </row>
    <row r="15" spans="1:26">
      <c r="A15" s="19" t="s">
        <v>47</v>
      </c>
      <c r="B15" s="21" t="s">
        <v>30</v>
      </c>
      <c r="C15" s="19" t="s">
        <v>41</v>
      </c>
      <c r="D15" s="19" t="s">
        <v>33</v>
      </c>
      <c r="E15" s="19" t="s">
        <v>35</v>
      </c>
      <c r="F15" s="19" t="s">
        <v>28</v>
      </c>
      <c r="G15" s="19">
        <v>3</v>
      </c>
      <c r="H15" s="19">
        <v>349</v>
      </c>
      <c r="I15" s="19">
        <v>1047</v>
      </c>
      <c r="J15" s="19">
        <v>15</v>
      </c>
      <c r="K15" s="19">
        <v>889.95</v>
      </c>
      <c r="O15" t="str" cm="1">
        <f t="array" ref="O15:P18">_xlfn.GROUPBY(C1:C51,K1:K51,_xleta.SUM,3,0,-1,,)</f>
        <v>Branch</v>
      </c>
      <c r="P15" t="str">
        <v>Net_Amount</v>
      </c>
    </row>
    <row r="16" spans="1:26">
      <c r="A16" s="19" t="s">
        <v>48</v>
      </c>
      <c r="B16" s="21" t="s">
        <v>49</v>
      </c>
      <c r="C16" s="19" t="s">
        <v>20</v>
      </c>
      <c r="D16" s="19" t="s">
        <v>25</v>
      </c>
      <c r="E16" s="19" t="s">
        <v>35</v>
      </c>
      <c r="F16" s="19" t="s">
        <v>22</v>
      </c>
      <c r="G16" s="19">
        <v>3</v>
      </c>
      <c r="H16" s="19">
        <v>199</v>
      </c>
      <c r="I16" s="19">
        <v>597</v>
      </c>
      <c r="J16" s="19">
        <v>10</v>
      </c>
      <c r="K16" s="19">
        <v>537.3</v>
      </c>
      <c r="O16" t="str">
        <v>Uptown</v>
      </c>
      <c r="P16">
        <v>19381.9</v>
      </c>
    </row>
    <row r="17" spans="1:16">
      <c r="A17" s="19" t="s">
        <v>50</v>
      </c>
      <c r="B17" s="21" t="s">
        <v>37</v>
      </c>
      <c r="C17" s="19" t="s">
        <v>41</v>
      </c>
      <c r="D17" s="19" t="s">
        <v>15</v>
      </c>
      <c r="E17" s="19" t="s">
        <v>35</v>
      </c>
      <c r="F17" s="19" t="s">
        <v>28</v>
      </c>
      <c r="G17" s="19">
        <v>4</v>
      </c>
      <c r="H17" s="19">
        <v>349</v>
      </c>
      <c r="I17" s="19">
        <v>1396</v>
      </c>
      <c r="J17" s="19">
        <v>0</v>
      </c>
      <c r="K17" s="19">
        <v>1396</v>
      </c>
      <c r="O17" t="str">
        <v>Downtown</v>
      </c>
      <c r="P17">
        <v>9716.5</v>
      </c>
    </row>
    <row r="18" spans="1:16">
      <c r="A18" s="19" t="s">
        <v>51</v>
      </c>
      <c r="B18" s="21" t="s">
        <v>52</v>
      </c>
      <c r="C18" s="19" t="s">
        <v>20</v>
      </c>
      <c r="D18" s="19" t="s">
        <v>15</v>
      </c>
      <c r="E18" s="19" t="s">
        <v>16</v>
      </c>
      <c r="F18" s="19" t="s">
        <v>22</v>
      </c>
      <c r="G18" s="19">
        <v>4</v>
      </c>
      <c r="H18" s="19">
        <v>199</v>
      </c>
      <c r="I18" s="19">
        <v>796</v>
      </c>
      <c r="J18" s="19">
        <v>15</v>
      </c>
      <c r="K18" s="19">
        <v>676.6</v>
      </c>
      <c r="O18" t="str">
        <v>Airport</v>
      </c>
      <c r="P18">
        <v>8639.05</v>
      </c>
    </row>
    <row r="19" spans="1:16">
      <c r="A19" s="19" t="s">
        <v>53</v>
      </c>
      <c r="B19" s="21" t="s">
        <v>32</v>
      </c>
      <c r="C19" s="19" t="s">
        <v>41</v>
      </c>
      <c r="D19" s="19" t="s">
        <v>25</v>
      </c>
      <c r="E19" s="19" t="s">
        <v>35</v>
      </c>
      <c r="F19" s="19" t="s">
        <v>22</v>
      </c>
      <c r="G19" s="19">
        <v>1</v>
      </c>
      <c r="H19" s="19">
        <v>399</v>
      </c>
      <c r="I19" s="19">
        <v>399</v>
      </c>
      <c r="J19" s="19">
        <v>10</v>
      </c>
      <c r="K19" s="19">
        <v>359.1</v>
      </c>
    </row>
    <row r="20" spans="1:16">
      <c r="A20" s="19" t="s">
        <v>54</v>
      </c>
      <c r="B20" s="21" t="s">
        <v>49</v>
      </c>
      <c r="C20" s="19" t="s">
        <v>14</v>
      </c>
      <c r="D20" s="19" t="s">
        <v>15</v>
      </c>
      <c r="E20" s="19" t="s">
        <v>35</v>
      </c>
      <c r="F20" s="19" t="s">
        <v>17</v>
      </c>
      <c r="G20" s="19">
        <v>1</v>
      </c>
      <c r="H20" s="19">
        <v>349</v>
      </c>
      <c r="I20" s="19">
        <v>349</v>
      </c>
      <c r="J20" s="19">
        <v>15</v>
      </c>
      <c r="K20" s="19">
        <v>296.65</v>
      </c>
    </row>
    <row r="21" spans="1:16">
      <c r="A21" s="19" t="s">
        <v>55</v>
      </c>
      <c r="B21" s="21" t="s">
        <v>56</v>
      </c>
      <c r="C21" s="19" t="s">
        <v>14</v>
      </c>
      <c r="D21" s="19" t="s">
        <v>15</v>
      </c>
      <c r="E21" s="19" t="s">
        <v>16</v>
      </c>
      <c r="F21" s="19" t="s">
        <v>22</v>
      </c>
      <c r="G21" s="19">
        <v>2</v>
      </c>
      <c r="H21" s="19">
        <v>299</v>
      </c>
      <c r="I21" s="19">
        <v>598</v>
      </c>
      <c r="J21" s="19">
        <v>5</v>
      </c>
      <c r="K21" s="19">
        <v>568.1</v>
      </c>
      <c r="O21" t="str" cm="1">
        <f t="array" ref="O21:P24">_xlfn.GROUPBY(D1:D51,K1:K51,_xleta.SUM,3,0,-1,,)</f>
        <v>Pizza_Size</v>
      </c>
      <c r="P21" t="str">
        <v>Net_Amount</v>
      </c>
    </row>
    <row r="22" spans="1:16">
      <c r="A22" s="19" t="s">
        <v>57</v>
      </c>
      <c r="B22" s="21" t="s">
        <v>58</v>
      </c>
      <c r="C22" s="19" t="s">
        <v>20</v>
      </c>
      <c r="D22" s="19" t="s">
        <v>25</v>
      </c>
      <c r="E22" s="19" t="s">
        <v>35</v>
      </c>
      <c r="F22" s="19" t="s">
        <v>17</v>
      </c>
      <c r="G22" s="19">
        <v>1</v>
      </c>
      <c r="H22" s="19">
        <v>199</v>
      </c>
      <c r="I22" s="19">
        <v>199</v>
      </c>
      <c r="J22" s="19">
        <v>0</v>
      </c>
      <c r="K22" s="19">
        <v>199</v>
      </c>
      <c r="O22" t="str">
        <v>Small</v>
      </c>
      <c r="P22">
        <v>12503.75</v>
      </c>
    </row>
    <row r="23" spans="1:16">
      <c r="A23" s="19" t="s">
        <v>59</v>
      </c>
      <c r="B23" s="21" t="s">
        <v>37</v>
      </c>
      <c r="C23" s="19" t="s">
        <v>14</v>
      </c>
      <c r="D23" s="19" t="s">
        <v>25</v>
      </c>
      <c r="E23" s="19" t="s">
        <v>16</v>
      </c>
      <c r="F23" s="19" t="s">
        <v>28</v>
      </c>
      <c r="G23" s="19">
        <v>3</v>
      </c>
      <c r="H23" s="19">
        <v>199</v>
      </c>
      <c r="I23" s="19">
        <v>597</v>
      </c>
      <c r="J23" s="19">
        <v>5</v>
      </c>
      <c r="K23" s="19">
        <v>567.15</v>
      </c>
      <c r="O23" t="str">
        <v>Medium</v>
      </c>
      <c r="P23">
        <v>10829.5</v>
      </c>
    </row>
    <row r="24" spans="1:16">
      <c r="A24" s="19" t="s">
        <v>60</v>
      </c>
      <c r="B24" s="21" t="s">
        <v>61</v>
      </c>
      <c r="C24" s="19" t="s">
        <v>14</v>
      </c>
      <c r="D24" s="19" t="s">
        <v>15</v>
      </c>
      <c r="E24" s="19" t="s">
        <v>21</v>
      </c>
      <c r="F24" s="19" t="s">
        <v>28</v>
      </c>
      <c r="G24" s="19">
        <v>4</v>
      </c>
      <c r="H24" s="19">
        <v>349</v>
      </c>
      <c r="I24" s="19">
        <v>1396</v>
      </c>
      <c r="J24" s="19">
        <v>10</v>
      </c>
      <c r="K24" s="19">
        <v>1256.4</v>
      </c>
      <c r="O24" t="str">
        <v>Large</v>
      </c>
      <c r="P24">
        <v>14404.2</v>
      </c>
    </row>
    <row r="25" spans="1:16">
      <c r="A25" s="19" t="s">
        <v>62</v>
      </c>
      <c r="B25" s="21" t="s">
        <v>49</v>
      </c>
      <c r="C25" s="19" t="s">
        <v>41</v>
      </c>
      <c r="D25" s="19" t="s">
        <v>15</v>
      </c>
      <c r="E25" s="19" t="s">
        <v>35</v>
      </c>
      <c r="F25" s="19" t="s">
        <v>28</v>
      </c>
      <c r="G25" s="19">
        <v>1</v>
      </c>
      <c r="H25" s="19">
        <v>299</v>
      </c>
      <c r="I25" s="19">
        <v>299</v>
      </c>
      <c r="J25" s="19">
        <v>5</v>
      </c>
      <c r="K25" s="19">
        <v>284.05</v>
      </c>
    </row>
    <row r="26" spans="1:16">
      <c r="A26" s="19" t="s">
        <v>63</v>
      </c>
      <c r="B26" s="21" t="s">
        <v>64</v>
      </c>
      <c r="C26" s="19" t="s">
        <v>20</v>
      </c>
      <c r="D26" s="19" t="s">
        <v>15</v>
      </c>
      <c r="E26" s="19" t="s">
        <v>21</v>
      </c>
      <c r="F26" s="19" t="s">
        <v>28</v>
      </c>
      <c r="G26" s="19">
        <v>1</v>
      </c>
      <c r="H26" s="19">
        <v>299</v>
      </c>
      <c r="I26" s="19">
        <v>299</v>
      </c>
      <c r="J26" s="19">
        <v>5</v>
      </c>
      <c r="K26" s="19">
        <v>284.05</v>
      </c>
    </row>
    <row r="27" spans="1:16">
      <c r="A27" s="19" t="s">
        <v>65</v>
      </c>
      <c r="B27" s="21" t="s">
        <v>66</v>
      </c>
      <c r="C27" s="19" t="s">
        <v>41</v>
      </c>
      <c r="D27" s="19" t="s">
        <v>33</v>
      </c>
      <c r="E27" s="19" t="s">
        <v>16</v>
      </c>
      <c r="F27" s="19" t="s">
        <v>17</v>
      </c>
      <c r="G27" s="19">
        <v>2</v>
      </c>
      <c r="H27" s="19">
        <v>399</v>
      </c>
      <c r="I27" s="19">
        <v>798</v>
      </c>
      <c r="J27" s="19">
        <v>10</v>
      </c>
      <c r="K27" s="19">
        <v>718.2</v>
      </c>
      <c r="O27" t="str" cm="1">
        <f t="array" ref="O27:P30">_xlfn.GROUPBY(C:C,K:K,_xleta.SUM,3,0,-1,C:C&lt;&gt;"")</f>
        <v>Branch</v>
      </c>
      <c r="P27" t="str">
        <v>Net_Amount</v>
      </c>
    </row>
    <row r="28" spans="1:16">
      <c r="A28" s="19" t="s">
        <v>67</v>
      </c>
      <c r="B28" s="21" t="s">
        <v>68</v>
      </c>
      <c r="C28" s="19" t="s">
        <v>41</v>
      </c>
      <c r="D28" s="19" t="s">
        <v>33</v>
      </c>
      <c r="E28" s="19" t="s">
        <v>35</v>
      </c>
      <c r="F28" s="19" t="s">
        <v>28</v>
      </c>
      <c r="G28" s="19">
        <v>2</v>
      </c>
      <c r="H28" s="19">
        <v>299</v>
      </c>
      <c r="I28" s="19">
        <v>598</v>
      </c>
      <c r="J28" s="19">
        <v>15</v>
      </c>
      <c r="K28" s="19">
        <v>508.3</v>
      </c>
      <c r="O28" t="str">
        <v>Uptown</v>
      </c>
      <c r="P28">
        <v>19381.9</v>
      </c>
    </row>
    <row r="29" spans="1:16">
      <c r="A29" s="19" t="s">
        <v>69</v>
      </c>
      <c r="B29" s="21" t="s">
        <v>61</v>
      </c>
      <c r="C29" s="19" t="s">
        <v>41</v>
      </c>
      <c r="D29" s="19" t="s">
        <v>33</v>
      </c>
      <c r="E29" s="19" t="s">
        <v>16</v>
      </c>
      <c r="F29" s="19" t="s">
        <v>22</v>
      </c>
      <c r="G29" s="19">
        <v>3</v>
      </c>
      <c r="H29" s="19">
        <v>299</v>
      </c>
      <c r="I29" s="19">
        <v>897</v>
      </c>
      <c r="J29" s="19">
        <v>5</v>
      </c>
      <c r="K29" s="19">
        <v>852.15</v>
      </c>
      <c r="O29" t="str">
        <v>Downtown</v>
      </c>
      <c r="P29">
        <v>9716.5</v>
      </c>
    </row>
    <row r="30" spans="1:16">
      <c r="A30" s="19" t="s">
        <v>70</v>
      </c>
      <c r="B30" s="21" t="s">
        <v>71</v>
      </c>
      <c r="C30" s="19" t="s">
        <v>41</v>
      </c>
      <c r="D30" s="19" t="s">
        <v>25</v>
      </c>
      <c r="E30" s="19" t="s">
        <v>21</v>
      </c>
      <c r="F30" s="19" t="s">
        <v>22</v>
      </c>
      <c r="G30" s="19">
        <v>4</v>
      </c>
      <c r="H30" s="19">
        <v>299</v>
      </c>
      <c r="I30" s="19">
        <v>1196</v>
      </c>
      <c r="J30" s="19">
        <v>15</v>
      </c>
      <c r="K30" s="19">
        <v>1016.6</v>
      </c>
      <c r="O30" t="str">
        <v>Airport</v>
      </c>
      <c r="P30">
        <v>8639.05</v>
      </c>
    </row>
    <row r="31" spans="1:16">
      <c r="A31" s="19" t="s">
        <v>72</v>
      </c>
      <c r="B31" s="21" t="s">
        <v>37</v>
      </c>
      <c r="C31" s="19" t="s">
        <v>41</v>
      </c>
      <c r="D31" s="19" t="s">
        <v>33</v>
      </c>
      <c r="E31" s="19" t="s">
        <v>16</v>
      </c>
      <c r="F31" s="19" t="s">
        <v>22</v>
      </c>
      <c r="G31" s="19">
        <v>2</v>
      </c>
      <c r="H31" s="19">
        <v>249</v>
      </c>
      <c r="I31" s="19">
        <v>498</v>
      </c>
      <c r="J31" s="19">
        <v>5</v>
      </c>
      <c r="K31" s="19">
        <v>473.1</v>
      </c>
    </row>
    <row r="32" spans="1:16">
      <c r="A32" s="19" t="s">
        <v>73</v>
      </c>
      <c r="B32" s="21" t="s">
        <v>74</v>
      </c>
      <c r="C32" s="19" t="s">
        <v>41</v>
      </c>
      <c r="D32" s="19" t="s">
        <v>25</v>
      </c>
      <c r="E32" s="19" t="s">
        <v>35</v>
      </c>
      <c r="F32" s="19" t="s">
        <v>17</v>
      </c>
      <c r="G32" s="19">
        <v>1</v>
      </c>
      <c r="H32" s="19">
        <v>399</v>
      </c>
      <c r="I32" s="19">
        <v>399</v>
      </c>
      <c r="J32" s="19">
        <v>15</v>
      </c>
      <c r="K32" s="19">
        <v>339.15</v>
      </c>
    </row>
    <row r="33" spans="1:11">
      <c r="A33" s="19" t="s">
        <v>75</v>
      </c>
      <c r="B33" s="21" t="s">
        <v>64</v>
      </c>
      <c r="C33" s="19" t="s">
        <v>41</v>
      </c>
      <c r="D33" s="19" t="s">
        <v>25</v>
      </c>
      <c r="E33" s="19" t="s">
        <v>35</v>
      </c>
      <c r="F33" s="19" t="s">
        <v>28</v>
      </c>
      <c r="G33" s="19">
        <v>4</v>
      </c>
      <c r="H33" s="19">
        <v>199</v>
      </c>
      <c r="I33" s="19">
        <v>796</v>
      </c>
      <c r="J33" s="19">
        <v>10</v>
      </c>
      <c r="K33" s="19">
        <v>716.4</v>
      </c>
    </row>
    <row r="34" spans="1:11">
      <c r="A34" s="19" t="s">
        <v>76</v>
      </c>
      <c r="B34" s="21" t="s">
        <v>40</v>
      </c>
      <c r="C34" s="19" t="s">
        <v>20</v>
      </c>
      <c r="D34" s="19" t="s">
        <v>33</v>
      </c>
      <c r="E34" s="19" t="s">
        <v>21</v>
      </c>
      <c r="F34" s="19" t="s">
        <v>28</v>
      </c>
      <c r="G34" s="19">
        <v>4</v>
      </c>
      <c r="H34" s="19">
        <v>349</v>
      </c>
      <c r="I34" s="19">
        <v>1396</v>
      </c>
      <c r="J34" s="19">
        <v>5</v>
      </c>
      <c r="K34" s="19">
        <v>1326.2</v>
      </c>
    </row>
    <row r="35" spans="1:11">
      <c r="A35" s="19" t="s">
        <v>77</v>
      </c>
      <c r="B35" s="21" t="s">
        <v>58</v>
      </c>
      <c r="C35" s="19" t="s">
        <v>14</v>
      </c>
      <c r="D35" s="19" t="s">
        <v>33</v>
      </c>
      <c r="E35" s="19" t="s">
        <v>16</v>
      </c>
      <c r="F35" s="19" t="s">
        <v>28</v>
      </c>
      <c r="G35" s="19">
        <v>1</v>
      </c>
      <c r="H35" s="19">
        <v>199</v>
      </c>
      <c r="I35" s="19">
        <v>199</v>
      </c>
      <c r="J35" s="19">
        <v>10</v>
      </c>
      <c r="K35" s="19">
        <v>179.1</v>
      </c>
    </row>
    <row r="36" spans="1:11">
      <c r="A36" s="19" t="s">
        <v>78</v>
      </c>
      <c r="B36" s="21" t="s">
        <v>24</v>
      </c>
      <c r="C36" s="19" t="s">
        <v>41</v>
      </c>
      <c r="D36" s="19" t="s">
        <v>33</v>
      </c>
      <c r="E36" s="19" t="s">
        <v>35</v>
      </c>
      <c r="F36" s="19" t="s">
        <v>17</v>
      </c>
      <c r="G36" s="19">
        <v>2</v>
      </c>
      <c r="H36" s="19">
        <v>399</v>
      </c>
      <c r="I36" s="19">
        <v>798</v>
      </c>
      <c r="J36" s="19">
        <v>5</v>
      </c>
      <c r="K36" s="19">
        <v>758.1</v>
      </c>
    </row>
    <row r="37" spans="1:11">
      <c r="A37" s="19" t="s">
        <v>79</v>
      </c>
      <c r="B37" s="21" t="s">
        <v>64</v>
      </c>
      <c r="C37" s="19" t="s">
        <v>41</v>
      </c>
      <c r="D37" s="19" t="s">
        <v>15</v>
      </c>
      <c r="E37" s="19" t="s">
        <v>21</v>
      </c>
      <c r="F37" s="19" t="s">
        <v>22</v>
      </c>
      <c r="G37" s="19">
        <v>1</v>
      </c>
      <c r="H37" s="19">
        <v>349</v>
      </c>
      <c r="I37" s="19">
        <v>349</v>
      </c>
      <c r="J37" s="19">
        <v>10</v>
      </c>
      <c r="K37" s="19">
        <v>314.1</v>
      </c>
    </row>
    <row r="38" spans="1:11">
      <c r="A38" s="19" t="s">
        <v>80</v>
      </c>
      <c r="B38" s="21" t="s">
        <v>81</v>
      </c>
      <c r="C38" s="19" t="s">
        <v>41</v>
      </c>
      <c r="D38" s="19" t="s">
        <v>33</v>
      </c>
      <c r="E38" s="19" t="s">
        <v>35</v>
      </c>
      <c r="F38" s="19" t="s">
        <v>22</v>
      </c>
      <c r="G38" s="19">
        <v>4</v>
      </c>
      <c r="H38" s="19">
        <v>399</v>
      </c>
      <c r="I38" s="19">
        <v>1596</v>
      </c>
      <c r="J38" s="19">
        <v>10</v>
      </c>
      <c r="K38" s="19">
        <v>1436.4</v>
      </c>
    </row>
    <row r="39" spans="1:11">
      <c r="A39" s="19" t="s">
        <v>82</v>
      </c>
      <c r="B39" s="21" t="s">
        <v>83</v>
      </c>
      <c r="C39" s="19" t="s">
        <v>41</v>
      </c>
      <c r="D39" s="19" t="s">
        <v>15</v>
      </c>
      <c r="E39" s="19" t="s">
        <v>35</v>
      </c>
      <c r="F39" s="19" t="s">
        <v>28</v>
      </c>
      <c r="G39" s="19">
        <v>5</v>
      </c>
      <c r="H39" s="19">
        <v>299</v>
      </c>
      <c r="I39" s="19">
        <v>1495</v>
      </c>
      <c r="J39" s="19">
        <v>5</v>
      </c>
      <c r="K39" s="19">
        <v>1420.25</v>
      </c>
    </row>
    <row r="40" spans="1:11">
      <c r="A40" s="19" t="s">
        <v>84</v>
      </c>
      <c r="B40" s="21" t="s">
        <v>85</v>
      </c>
      <c r="C40" s="19" t="s">
        <v>41</v>
      </c>
      <c r="D40" s="19" t="s">
        <v>25</v>
      </c>
      <c r="E40" s="19" t="s">
        <v>16</v>
      </c>
      <c r="F40" s="19" t="s">
        <v>22</v>
      </c>
      <c r="G40" s="19">
        <v>5</v>
      </c>
      <c r="H40" s="19">
        <v>349</v>
      </c>
      <c r="I40" s="19">
        <v>1745</v>
      </c>
      <c r="J40" s="19">
        <v>5</v>
      </c>
      <c r="K40" s="19">
        <v>1657.75</v>
      </c>
    </row>
    <row r="41" spans="1:11">
      <c r="A41" s="19" t="s">
        <v>86</v>
      </c>
      <c r="B41" s="21" t="s">
        <v>85</v>
      </c>
      <c r="C41" s="19" t="s">
        <v>41</v>
      </c>
      <c r="D41" s="19" t="s">
        <v>15</v>
      </c>
      <c r="E41" s="19" t="s">
        <v>35</v>
      </c>
      <c r="F41" s="19" t="s">
        <v>22</v>
      </c>
      <c r="G41" s="19">
        <v>3</v>
      </c>
      <c r="H41" s="19">
        <v>299</v>
      </c>
      <c r="I41" s="19">
        <v>897</v>
      </c>
      <c r="J41" s="19">
        <v>5</v>
      </c>
      <c r="K41" s="19">
        <v>852.15</v>
      </c>
    </row>
    <row r="42" spans="1:11">
      <c r="A42" s="19" t="s">
        <v>87</v>
      </c>
      <c r="B42" s="21" t="s">
        <v>88</v>
      </c>
      <c r="C42" s="19" t="s">
        <v>14</v>
      </c>
      <c r="D42" s="19" t="s">
        <v>33</v>
      </c>
      <c r="E42" s="19" t="s">
        <v>16</v>
      </c>
      <c r="F42" s="19" t="s">
        <v>17</v>
      </c>
      <c r="G42" s="19">
        <v>1</v>
      </c>
      <c r="H42" s="19">
        <v>199</v>
      </c>
      <c r="I42" s="19">
        <v>199</v>
      </c>
      <c r="J42" s="19">
        <v>0</v>
      </c>
      <c r="K42" s="19">
        <v>199</v>
      </c>
    </row>
    <row r="43" spans="1:11">
      <c r="A43" s="19" t="s">
        <v>89</v>
      </c>
      <c r="B43" s="21" t="s">
        <v>71</v>
      </c>
      <c r="C43" s="19" t="s">
        <v>14</v>
      </c>
      <c r="D43" s="19" t="s">
        <v>25</v>
      </c>
      <c r="E43" s="19" t="s">
        <v>35</v>
      </c>
      <c r="F43" s="19" t="s">
        <v>17</v>
      </c>
      <c r="G43" s="19">
        <v>1</v>
      </c>
      <c r="H43" s="19">
        <v>199</v>
      </c>
      <c r="I43" s="19">
        <v>199</v>
      </c>
      <c r="J43" s="19">
        <v>15</v>
      </c>
      <c r="K43" s="19">
        <v>169.15</v>
      </c>
    </row>
    <row r="44" spans="1:11">
      <c r="A44" s="19" t="s">
        <v>90</v>
      </c>
      <c r="B44" s="21" t="s">
        <v>71</v>
      </c>
      <c r="C44" s="19" t="s">
        <v>41</v>
      </c>
      <c r="D44" s="19" t="s">
        <v>25</v>
      </c>
      <c r="E44" s="19" t="s">
        <v>21</v>
      </c>
      <c r="F44" s="19" t="s">
        <v>17</v>
      </c>
      <c r="G44" s="19">
        <v>3</v>
      </c>
      <c r="H44" s="19">
        <v>349</v>
      </c>
      <c r="I44" s="19">
        <v>1047</v>
      </c>
      <c r="J44" s="19">
        <v>0</v>
      </c>
      <c r="K44" s="19">
        <v>1047</v>
      </c>
    </row>
    <row r="45" spans="1:11">
      <c r="A45" s="19" t="s">
        <v>91</v>
      </c>
      <c r="B45" s="21" t="s">
        <v>92</v>
      </c>
      <c r="C45" s="19" t="s">
        <v>14</v>
      </c>
      <c r="D45" s="19" t="s">
        <v>25</v>
      </c>
      <c r="E45" s="19" t="s">
        <v>35</v>
      </c>
      <c r="F45" s="19" t="s">
        <v>17</v>
      </c>
      <c r="G45" s="19">
        <v>3</v>
      </c>
      <c r="H45" s="19">
        <v>349</v>
      </c>
      <c r="I45" s="19">
        <v>1047</v>
      </c>
      <c r="J45" s="19">
        <v>0</v>
      </c>
      <c r="K45" s="19">
        <v>1047</v>
      </c>
    </row>
    <row r="46" spans="1:11">
      <c r="A46" s="19" t="s">
        <v>93</v>
      </c>
      <c r="B46" s="21" t="s">
        <v>27</v>
      </c>
      <c r="C46" s="19" t="s">
        <v>20</v>
      </c>
      <c r="D46" s="19" t="s">
        <v>15</v>
      </c>
      <c r="E46" s="19" t="s">
        <v>16</v>
      </c>
      <c r="F46" s="19" t="s">
        <v>28</v>
      </c>
      <c r="G46" s="19">
        <v>3</v>
      </c>
      <c r="H46" s="19">
        <v>399</v>
      </c>
      <c r="I46" s="19">
        <v>1197</v>
      </c>
      <c r="J46" s="19">
        <v>10</v>
      </c>
      <c r="K46" s="19">
        <v>1077.3</v>
      </c>
    </row>
    <row r="47" spans="1:11">
      <c r="A47" s="19" t="s">
        <v>94</v>
      </c>
      <c r="B47" s="21" t="s">
        <v>66</v>
      </c>
      <c r="C47" s="19" t="s">
        <v>41</v>
      </c>
      <c r="D47" s="19" t="s">
        <v>33</v>
      </c>
      <c r="E47" s="19" t="s">
        <v>16</v>
      </c>
      <c r="F47" s="19" t="s">
        <v>17</v>
      </c>
      <c r="G47" s="19">
        <v>4</v>
      </c>
      <c r="H47" s="19">
        <v>399</v>
      </c>
      <c r="I47" s="19">
        <v>1596</v>
      </c>
      <c r="J47" s="19">
        <v>5</v>
      </c>
      <c r="K47" s="19">
        <v>1516.2</v>
      </c>
    </row>
    <row r="48" spans="1:11">
      <c r="A48" s="19" t="s">
        <v>95</v>
      </c>
      <c r="B48" s="21" t="s">
        <v>66</v>
      </c>
      <c r="C48" s="19" t="s">
        <v>20</v>
      </c>
      <c r="D48" s="19" t="s">
        <v>25</v>
      </c>
      <c r="E48" s="19" t="s">
        <v>21</v>
      </c>
      <c r="F48" s="19" t="s">
        <v>22</v>
      </c>
      <c r="G48" s="19">
        <v>1</v>
      </c>
      <c r="H48" s="19">
        <v>299</v>
      </c>
      <c r="I48" s="19">
        <v>299</v>
      </c>
      <c r="J48" s="19">
        <v>15</v>
      </c>
      <c r="K48" s="19">
        <v>254.15</v>
      </c>
    </row>
    <row r="49" spans="1:11">
      <c r="A49" s="19" t="s">
        <v>96</v>
      </c>
      <c r="B49" s="21" t="s">
        <v>27</v>
      </c>
      <c r="C49" s="19" t="s">
        <v>20</v>
      </c>
      <c r="D49" s="19" t="s">
        <v>25</v>
      </c>
      <c r="E49" s="19" t="s">
        <v>35</v>
      </c>
      <c r="F49" s="19" t="s">
        <v>28</v>
      </c>
      <c r="G49" s="19">
        <v>4</v>
      </c>
      <c r="H49" s="19">
        <v>449</v>
      </c>
      <c r="I49" s="19">
        <v>1396</v>
      </c>
      <c r="J49" s="19">
        <v>10</v>
      </c>
      <c r="K49" s="19">
        <v>1256.4</v>
      </c>
    </row>
    <row r="50" spans="1:11">
      <c r="A50" s="19" t="s">
        <v>97</v>
      </c>
      <c r="B50" s="21" t="s">
        <v>66</v>
      </c>
      <c r="C50" s="19" t="s">
        <v>41</v>
      </c>
      <c r="D50" s="19" t="s">
        <v>25</v>
      </c>
      <c r="E50" s="19" t="s">
        <v>35</v>
      </c>
      <c r="F50" s="19" t="s">
        <v>22</v>
      </c>
      <c r="G50" s="19">
        <v>3</v>
      </c>
      <c r="H50" s="19">
        <v>199</v>
      </c>
      <c r="I50" s="19">
        <v>597</v>
      </c>
      <c r="J50" s="19">
        <v>0</v>
      </c>
      <c r="K50" s="19">
        <v>597</v>
      </c>
    </row>
    <row r="51" spans="1:11">
      <c r="A51" s="19" t="s">
        <v>98</v>
      </c>
      <c r="B51" s="21" t="s">
        <v>43</v>
      </c>
      <c r="C51" s="19" t="s">
        <v>14</v>
      </c>
      <c r="D51" s="19" t="s">
        <v>15</v>
      </c>
      <c r="E51" s="19" t="s">
        <v>21</v>
      </c>
      <c r="F51" s="19" t="s">
        <v>22</v>
      </c>
      <c r="G51" s="19">
        <v>1</v>
      </c>
      <c r="H51" s="19">
        <v>399</v>
      </c>
      <c r="I51" s="19">
        <v>399</v>
      </c>
      <c r="J51" s="19">
        <v>5</v>
      </c>
      <c r="K51" s="19">
        <v>379.05</v>
      </c>
    </row>
  </sheetData>
  <mergeCells count="2">
    <mergeCell ref="P1:Z1"/>
    <mergeCell ref="P2:Z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opLeftCell="A4" workbookViewId="0">
      <selection activeCell="G18" sqref="G18"/>
    </sheetView>
  </sheetViews>
  <sheetFormatPr defaultColWidth="8.72727272727273" defaultRowHeight="14.5"/>
  <cols>
    <col min="1" max="1" width="15.9090909090909" customWidth="1"/>
    <col min="2" max="2" width="9" customWidth="1"/>
    <col min="3" max="3" width="9.36363636363636" customWidth="1"/>
    <col min="4" max="4" width="16.2727272727273" customWidth="1"/>
    <col min="5" max="5" width="14.3636363636364" customWidth="1"/>
    <col min="6" max="6" width="14" customWidth="1"/>
    <col min="7" max="7" width="11.1818181818182" customWidth="1"/>
    <col min="8" max="8" width="12.4545454545455" customWidth="1"/>
    <col min="9" max="9" width="13.6363636363636" customWidth="1"/>
    <col min="10" max="10" width="14.3636363636364" customWidth="1"/>
    <col min="11" max="11" width="16.3636363636364" customWidth="1"/>
  </cols>
  <sheetData>
    <row r="1" spans="1:12">
      <c r="A1" s="20" t="s">
        <v>99</v>
      </c>
      <c r="B1" s="20">
        <v>1</v>
      </c>
      <c r="C1" s="20">
        <v>2</v>
      </c>
      <c r="D1" s="20">
        <v>3</v>
      </c>
      <c r="E1" s="20">
        <v>4</v>
      </c>
      <c r="F1" s="20">
        <v>5</v>
      </c>
      <c r="G1" s="20">
        <v>6</v>
      </c>
      <c r="H1" s="20">
        <v>7</v>
      </c>
      <c r="I1" s="20">
        <v>8</v>
      </c>
      <c r="J1" s="20">
        <v>9</v>
      </c>
      <c r="K1" s="20">
        <v>10</v>
      </c>
      <c r="L1" s="20"/>
    </row>
    <row r="2" spans="1:12">
      <c r="A2" s="20" t="s">
        <v>100</v>
      </c>
      <c r="B2" s="20">
        <v>1166</v>
      </c>
      <c r="C2" s="20">
        <v>1582</v>
      </c>
      <c r="D2" s="20"/>
      <c r="E2" s="20">
        <v>1140</v>
      </c>
      <c r="F2" s="20">
        <v>1601</v>
      </c>
      <c r="G2" s="20">
        <v>1701</v>
      </c>
      <c r="H2" s="20"/>
      <c r="I2" s="20">
        <v>1196</v>
      </c>
      <c r="J2" s="20">
        <v>1743</v>
      </c>
      <c r="K2" s="20">
        <v>1124</v>
      </c>
      <c r="L2" s="20"/>
    </row>
    <row r="3" spans="1:12">
      <c r="A3" s="20" t="s">
        <v>101</v>
      </c>
      <c r="B3" s="20">
        <v>1035</v>
      </c>
      <c r="C3" s="20">
        <v>1232</v>
      </c>
      <c r="D3" s="20">
        <v>919</v>
      </c>
      <c r="E3" s="20">
        <v>873</v>
      </c>
      <c r="F3" s="20"/>
      <c r="G3" s="20">
        <v>1447</v>
      </c>
      <c r="H3" s="20">
        <v>1331</v>
      </c>
      <c r="I3" s="20">
        <v>963</v>
      </c>
      <c r="J3" s="20"/>
      <c r="K3" s="20">
        <v>1081</v>
      </c>
      <c r="L3" s="20"/>
    </row>
    <row r="4" spans="1:1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>
      <c r="A7" s="20"/>
      <c r="B7" s="20"/>
      <c r="C7" s="20"/>
      <c r="D7" s="20" t="s">
        <v>102</v>
      </c>
      <c r="E7" s="20" t="s">
        <v>103</v>
      </c>
      <c r="F7" s="20" t="s">
        <v>104</v>
      </c>
      <c r="G7" s="20"/>
      <c r="H7" s="20"/>
      <c r="I7" s="20"/>
      <c r="J7" s="20"/>
      <c r="K7" s="20"/>
      <c r="L7" s="20"/>
    </row>
    <row r="8" spans="1:12">
      <c r="A8" s="20"/>
      <c r="B8" s="20"/>
      <c r="C8" s="20"/>
      <c r="D8" s="20" cm="1">
        <f t="array" ref="D8:D15">_xlfn.TOCOL(B2:K2,3)</f>
        <v>1166</v>
      </c>
      <c r="E8" s="20" cm="1">
        <f t="array" ref="E8:E15">_xlfn.TOCOL(B3:K3,3)</f>
        <v>1035</v>
      </c>
      <c r="F8" s="20" cm="1">
        <f t="array" ref="F8:F23">_xlfn.TOCOL(B2:K3,3,TRUE)</f>
        <v>1166</v>
      </c>
      <c r="G8" s="20"/>
      <c r="H8" s="20"/>
      <c r="I8" s="20"/>
      <c r="J8" s="20"/>
      <c r="K8" s="20"/>
      <c r="L8" s="20"/>
    </row>
    <row r="9" spans="1:12">
      <c r="A9" s="20"/>
      <c r="B9" s="20"/>
      <c r="C9" s="20"/>
      <c r="D9" s="20">
        <v>1582</v>
      </c>
      <c r="E9" s="20">
        <v>1232</v>
      </c>
      <c r="F9" s="20">
        <v>1035</v>
      </c>
      <c r="G9" s="20"/>
      <c r="H9" s="20"/>
      <c r="I9" s="20"/>
      <c r="J9" s="20"/>
      <c r="K9" s="20"/>
      <c r="L9" s="20"/>
    </row>
    <row r="10" spans="1:12">
      <c r="A10" s="20"/>
      <c r="B10" s="20"/>
      <c r="C10" s="20"/>
      <c r="D10" s="20">
        <v>1140</v>
      </c>
      <c r="E10" s="20">
        <v>919</v>
      </c>
      <c r="F10" s="20">
        <v>1582</v>
      </c>
      <c r="G10" s="20"/>
      <c r="H10" s="20"/>
      <c r="I10" s="20"/>
      <c r="J10" s="20"/>
      <c r="K10" s="20"/>
      <c r="L10" s="20"/>
    </row>
    <row r="11" spans="1:12">
      <c r="A11" s="20"/>
      <c r="B11" s="20"/>
      <c r="C11" s="20"/>
      <c r="D11" s="20">
        <v>1601</v>
      </c>
      <c r="E11" s="20">
        <v>873</v>
      </c>
      <c r="F11" s="20">
        <v>1232</v>
      </c>
      <c r="G11" s="20"/>
      <c r="H11" s="20"/>
      <c r="I11" s="20"/>
      <c r="J11" s="20"/>
      <c r="K11" s="20"/>
      <c r="L11" s="20"/>
    </row>
    <row r="12" spans="1:12">
      <c r="A12" s="20"/>
      <c r="B12" s="20"/>
      <c r="C12" s="20"/>
      <c r="D12" s="20">
        <v>1701</v>
      </c>
      <c r="E12" s="20">
        <v>1447</v>
      </c>
      <c r="F12" s="20">
        <v>919</v>
      </c>
      <c r="G12" s="20"/>
      <c r="H12" s="20"/>
      <c r="I12" s="20"/>
      <c r="J12" s="20"/>
      <c r="K12" s="20"/>
      <c r="L12" s="20"/>
    </row>
    <row r="13" spans="1:12">
      <c r="A13" s="20"/>
      <c r="B13" s="20"/>
      <c r="C13" s="20"/>
      <c r="D13" s="20">
        <v>1196</v>
      </c>
      <c r="E13" s="20">
        <v>1331</v>
      </c>
      <c r="F13" s="20">
        <v>1140</v>
      </c>
      <c r="G13" s="20"/>
      <c r="H13" s="20"/>
      <c r="I13" s="20"/>
      <c r="J13" s="20"/>
      <c r="K13" s="20"/>
      <c r="L13" s="20"/>
    </row>
    <row r="14" spans="1:12">
      <c r="A14" s="20"/>
      <c r="B14" s="20"/>
      <c r="C14" s="20"/>
      <c r="D14" s="20">
        <v>1743</v>
      </c>
      <c r="E14" s="20">
        <v>963</v>
      </c>
      <c r="F14" s="20">
        <v>873</v>
      </c>
      <c r="G14" s="20"/>
      <c r="H14" s="20"/>
      <c r="I14" s="20"/>
      <c r="J14" s="20"/>
      <c r="K14" s="20"/>
      <c r="L14" s="20"/>
    </row>
    <row r="15" spans="1:12">
      <c r="A15" s="20"/>
      <c r="B15" s="20"/>
      <c r="C15" s="20"/>
      <c r="D15" s="20">
        <v>1124</v>
      </c>
      <c r="E15" s="20">
        <v>1081</v>
      </c>
      <c r="F15" s="20">
        <v>1601</v>
      </c>
      <c r="G15" s="20"/>
      <c r="H15" s="20"/>
      <c r="I15" s="20"/>
      <c r="J15" s="20"/>
      <c r="K15" s="20"/>
      <c r="L15" s="20"/>
    </row>
    <row r="16" spans="1:12">
      <c r="A16" s="20"/>
      <c r="B16" s="20"/>
      <c r="C16" s="20"/>
      <c r="D16" s="20"/>
      <c r="E16" s="20"/>
      <c r="F16" s="20">
        <v>1701</v>
      </c>
      <c r="G16" s="20"/>
      <c r="H16" s="20"/>
      <c r="I16" s="20"/>
      <c r="J16" s="20"/>
      <c r="K16" s="20"/>
      <c r="L16" s="20"/>
    </row>
    <row r="17" spans="1:12">
      <c r="A17" s="20"/>
      <c r="B17" s="20"/>
      <c r="C17" s="20"/>
      <c r="D17" s="20"/>
      <c r="E17" s="20"/>
      <c r="F17" s="20">
        <v>1447</v>
      </c>
      <c r="G17" s="20"/>
      <c r="H17" s="20"/>
      <c r="I17" s="20"/>
      <c r="J17" s="20"/>
      <c r="K17" s="20"/>
      <c r="L17" s="20"/>
    </row>
    <row r="18" spans="1:12">
      <c r="F18" s="11">
        <v>1331</v>
      </c>
    </row>
    <row r="19" spans="1:12">
      <c r="F19" s="11">
        <v>1196</v>
      </c>
    </row>
    <row r="20" spans="1:12">
      <c r="F20" s="11">
        <v>963</v>
      </c>
    </row>
    <row r="21" spans="1:12">
      <c r="F21" s="11">
        <v>1743</v>
      </c>
    </row>
    <row r="22" spans="1:12">
      <c r="F22" s="11">
        <v>1124</v>
      </c>
    </row>
    <row r="23" spans="1:12">
      <c r="F23" s="11">
        <v>1081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workbookViewId="0">
      <selection activeCell="E8" sqref="E8"/>
    </sheetView>
  </sheetViews>
  <sheetFormatPr defaultColWidth="8.72727272727273" defaultRowHeight="14.5"/>
  <cols>
    <col min="1" max="1" width="26.8181818181818" customWidth="1"/>
    <col min="2" max="3" width="16.1818181818182" customWidth="1"/>
    <col min="4" max="4" width="12.2727272727273" customWidth="1"/>
    <col min="5" max="5" width="13.5454545454545" customWidth="1"/>
    <col min="6" max="6" width="12.4545454545455" customWidth="1"/>
    <col min="7" max="7" width="13.1818181818182" customWidth="1"/>
    <col min="8" max="8" width="15.9090909090909" customWidth="1"/>
    <col min="9" max="9" width="13.7272727272727" customWidth="1"/>
    <col min="10" max="10" width="16.1818181818182" customWidth="1"/>
    <col min="11" max="11" width="14.9090909090909" customWidth="1"/>
    <col min="12" max="13" width="11.8181818181818" customWidth="1"/>
    <col min="14" max="14" width="11.3636363636364" customWidth="1"/>
    <col min="15" max="15" width="11.0909090909091" customWidth="1"/>
    <col min="16" max="16" width="10.2727272727273" customWidth="1"/>
    <col min="17" max="17" width="12.6363636363636" customWidth="1"/>
  </cols>
  <sheetData>
    <row r="1" spans="1:18">
      <c r="A1" s="18" t="s">
        <v>100</v>
      </c>
      <c r="B1" s="18" t="s">
        <v>101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>
      <c r="A2" s="19" t="s">
        <v>105</v>
      </c>
      <c r="B2" s="19" t="s">
        <v>106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>
      <c r="A3" s="19" t="s">
        <v>107</v>
      </c>
      <c r="B3" s="19" t="s">
        <v>108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>
      <c r="A4" s="19"/>
      <c r="B4" s="19" t="s">
        <v>109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>
      <c r="A5" s="19" t="s">
        <v>110</v>
      </c>
      <c r="B5" s="19" t="s">
        <v>111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>
      <c r="A6" s="19" t="s">
        <v>112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>
      <c r="A7" s="19" t="s">
        <v>113</v>
      </c>
      <c r="B7" s="19" t="s">
        <v>114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>
      <c r="A8" s="19"/>
      <c r="B8" s="19" t="s">
        <v>115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>
      <c r="A9" s="19" t="s">
        <v>116</v>
      </c>
      <c r="B9" s="19" t="s">
        <v>117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>
      <c r="A10" s="19" t="s">
        <v>118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>
      <c r="A11" s="19" t="s">
        <v>105</v>
      </c>
      <c r="B11" s="19" t="s">
        <v>106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>
      <c r="A14" s="18" t="s">
        <v>119</v>
      </c>
      <c r="B14" s="19" t="str" cm="1">
        <f t="array" ref="B14:I14">_xlfn.TOROW(A2:A11,3)</f>
        <v>John Smith</v>
      </c>
      <c r="C14" s="19" t="str">
        <v>Sarah Johnson</v>
      </c>
      <c r="D14" s="19" t="str">
        <v>Jessica Davis</v>
      </c>
      <c r="E14" s="19" t="str">
        <v>William Miller</v>
      </c>
      <c r="F14" s="19" t="str">
        <v>Emily Wilson</v>
      </c>
      <c r="G14" s="19" t="str">
        <v>Sophia Taylor</v>
      </c>
      <c r="H14" s="19" t="str">
        <v>James Anderson</v>
      </c>
      <c r="I14" s="19" t="str">
        <v>John Smith</v>
      </c>
      <c r="J14" s="19"/>
      <c r="K14" s="19"/>
      <c r="L14" s="19"/>
      <c r="M14" s="19"/>
      <c r="N14" s="19"/>
      <c r="O14" s="19"/>
      <c r="P14" s="19"/>
      <c r="Q14" s="19"/>
      <c r="R14" s="19"/>
    </row>
    <row r="15" spans="1:18">
      <c r="A15" s="18" t="s">
        <v>120</v>
      </c>
      <c r="B15" s="19" t="str" cm="1">
        <f t="array" ref="B15:I15">_xlfn.TOROW(B2:B11,3)</f>
        <v>Olivia Thomas</v>
      </c>
      <c r="C15" s="19" t="str">
        <v>Benjamin Martin</v>
      </c>
      <c r="D15" s="19" t="str">
        <v>Ava White</v>
      </c>
      <c r="E15" s="19" t="str">
        <v>Lucas Harris</v>
      </c>
      <c r="F15" s="19" t="str">
        <v>Henry Lewis</v>
      </c>
      <c r="G15" s="19" t="str">
        <v>Isabella Lee</v>
      </c>
      <c r="H15" s="19" t="str">
        <v>Amelia Hall</v>
      </c>
      <c r="I15" s="19" t="str">
        <v>Olivia Thomas</v>
      </c>
      <c r="J15" s="19"/>
      <c r="K15" s="19"/>
      <c r="L15" s="19"/>
      <c r="M15" s="19"/>
      <c r="N15" s="19"/>
      <c r="O15" s="19"/>
      <c r="P15" s="19"/>
      <c r="Q15" s="19"/>
      <c r="R15" s="19"/>
    </row>
    <row r="16" spans="1:18">
      <c r="A16" s="18" t="s">
        <v>121</v>
      </c>
      <c r="B16" s="19" t="str" cm="1">
        <f t="array" ref="B16:Q16">_xlfn.TOROW(A2:B11,3,TRUE)</f>
        <v>John Smith</v>
      </c>
      <c r="C16" s="19" t="str">
        <v>Sarah Johnson</v>
      </c>
      <c r="D16" s="19" t="str">
        <v>Jessica Davis</v>
      </c>
      <c r="E16" s="19" t="str">
        <v>William Miller</v>
      </c>
      <c r="F16" s="19" t="str">
        <v>Emily Wilson</v>
      </c>
      <c r="G16" s="19" t="str">
        <v>Sophia Taylor</v>
      </c>
      <c r="H16" s="19" t="str">
        <v>James Anderson</v>
      </c>
      <c r="I16" s="19" t="str">
        <v>John Smith</v>
      </c>
      <c r="J16" s="19" t="str">
        <v>Olivia Thomas</v>
      </c>
      <c r="K16" s="19" t="str">
        <v>Benjamin Martin</v>
      </c>
      <c r="L16" s="19" t="str">
        <v>Ava White</v>
      </c>
      <c r="M16" s="19" t="str">
        <v>Lucas Harris</v>
      </c>
      <c r="N16" s="19" t="str">
        <v>Henry Lewis</v>
      </c>
      <c r="O16" s="19" t="str">
        <v>Isabella Lee</v>
      </c>
      <c r="P16" s="19" t="str">
        <v>Amelia Hall</v>
      </c>
      <c r="Q16" s="19" t="str">
        <v>Olivia Thomas</v>
      </c>
      <c r="R16" s="19"/>
    </row>
    <row r="17" spans="1:18">
      <c r="A17" s="18" t="s">
        <v>122</v>
      </c>
      <c r="B17" s="19" t="str" cm="1">
        <f t="array" ref="B17:O17">_xlfn.UNIQUE(_xlfn.TOROW(A2:B11,3,TRUE),TRUE,FALSE)</f>
        <v>John Smith</v>
      </c>
      <c r="C17" s="19" t="str">
        <v>Sarah Johnson</v>
      </c>
      <c r="D17" s="19" t="str">
        <v>Jessica Davis</v>
      </c>
      <c r="E17" s="19" t="str">
        <v>William Miller</v>
      </c>
      <c r="F17" s="19" t="str">
        <v>Emily Wilson</v>
      </c>
      <c r="G17" s="19" t="str">
        <v>Sophia Taylor</v>
      </c>
      <c r="H17" s="19" t="str">
        <v>James Anderson</v>
      </c>
      <c r="I17" s="19" t="str">
        <v>Olivia Thomas</v>
      </c>
      <c r="J17" s="19" t="str">
        <v>Benjamin Martin</v>
      </c>
      <c r="K17" s="19" t="str">
        <v>Ava White</v>
      </c>
      <c r="L17" s="19" t="str">
        <v>Lucas Harris</v>
      </c>
      <c r="M17" s="19" t="str">
        <v>Henry Lewis</v>
      </c>
      <c r="N17" s="19" t="str">
        <v>Isabella Lee</v>
      </c>
      <c r="O17" s="19" t="str">
        <v>Amelia Hall</v>
      </c>
      <c r="P17" s="19"/>
      <c r="Q17" s="19"/>
      <c r="R17" s="19"/>
    </row>
    <row r="18" spans="1: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selection activeCell="E17" sqref="E17"/>
    </sheetView>
  </sheetViews>
  <sheetFormatPr defaultColWidth="8.72727272727273" defaultRowHeight="14.5"/>
  <cols>
    <col min="1" max="1" width="8.09090909090909" customWidth="1"/>
    <col min="2" max="2" width="19.6363636363636" customWidth="1"/>
    <col min="3" max="3" width="17.8181818181818" customWidth="1"/>
    <col min="4" max="4" width="15.0909090909091" customWidth="1"/>
    <col min="7" max="7" width="8.09090909090909" style="11" customWidth="1"/>
    <col min="8" max="8" width="19.6363636363636" style="11" customWidth="1"/>
    <col min="9" max="9" width="17.8181818181818" style="11" customWidth="1"/>
    <col min="10" max="10" width="15.0909090909091" style="11" customWidth="1"/>
  </cols>
  <sheetData>
    <row r="1" ht="15.5" spans="1:10">
      <c r="A1" s="12" t="s">
        <v>123</v>
      </c>
      <c r="B1" s="12"/>
      <c r="C1" s="12"/>
      <c r="D1" s="12"/>
      <c r="G1" s="11" t="str" cm="1">
        <f t="array" ref="G1:J35">_xlfn.VSTACK(A33:D42,A18:D30,A3:D14)</f>
        <v>Emp_ID</v>
      </c>
      <c r="H1" s="11" t="str">
        <v>Employee_name</v>
      </c>
      <c r="I1" s="11" t="str">
        <v>Employee_Gender</v>
      </c>
      <c r="J1" s="13" t="str">
        <v>Employee_DOB</v>
      </c>
    </row>
    <row r="2" spans="1:10">
      <c r="A2" s="11" t="s">
        <v>124</v>
      </c>
      <c r="B2" s="11" t="s">
        <v>125</v>
      </c>
      <c r="C2" s="11" t="s">
        <v>126</v>
      </c>
      <c r="D2" s="11" t="s">
        <v>127</v>
      </c>
      <c r="G2" s="11">
        <v>1001</v>
      </c>
      <c r="H2" s="11" t="str">
        <v>Andrea Gonzalez</v>
      </c>
      <c r="I2" s="11" t="str">
        <v>Male</v>
      </c>
      <c r="J2" s="14">
        <v>36312</v>
      </c>
    </row>
    <row r="3" spans="1:10">
      <c r="A3" s="11">
        <v>1023</v>
      </c>
      <c r="B3" s="11" t="s">
        <v>128</v>
      </c>
      <c r="C3" s="11" t="s">
        <v>129</v>
      </c>
      <c r="D3" s="11" t="s">
        <v>130</v>
      </c>
      <c r="G3" s="11">
        <v>1002</v>
      </c>
      <c r="H3" s="11" t="str">
        <v>Sarah Griffin</v>
      </c>
      <c r="I3" s="11" t="str">
        <v>Female</v>
      </c>
      <c r="J3" s="14">
        <v>33209</v>
      </c>
    </row>
    <row r="4" spans="1:10">
      <c r="A4" s="11">
        <v>1024</v>
      </c>
      <c r="B4" s="11" t="s">
        <v>131</v>
      </c>
      <c r="C4" s="11" t="s">
        <v>129</v>
      </c>
      <c r="D4" s="15">
        <v>37661</v>
      </c>
      <c r="G4" s="11">
        <v>1003</v>
      </c>
      <c r="H4" s="11" t="str">
        <v>Kent Brown</v>
      </c>
      <c r="I4" s="11" t="str">
        <v>Female</v>
      </c>
      <c r="J4" s="14">
        <v>30562</v>
      </c>
    </row>
    <row r="5" spans="1:10">
      <c r="A5" s="11">
        <v>1025</v>
      </c>
      <c r="B5" s="11" t="s">
        <v>132</v>
      </c>
      <c r="C5" s="11" t="s">
        <v>133</v>
      </c>
      <c r="D5" s="15">
        <v>33702</v>
      </c>
      <c r="G5" s="11">
        <v>1004</v>
      </c>
      <c r="H5" s="11" t="str">
        <v>Donna Garcia</v>
      </c>
      <c r="I5" s="11" t="str">
        <v>Female</v>
      </c>
      <c r="J5" s="14">
        <v>32579</v>
      </c>
    </row>
    <row r="6" spans="1:10">
      <c r="A6" s="11">
        <v>1026</v>
      </c>
      <c r="B6" s="11" t="s">
        <v>134</v>
      </c>
      <c r="C6" s="11" t="s">
        <v>133</v>
      </c>
      <c r="D6" s="11" t="s">
        <v>135</v>
      </c>
      <c r="G6" s="11">
        <v>1005</v>
      </c>
      <c r="H6" s="11" t="str">
        <v>Brian Mitchell</v>
      </c>
      <c r="I6" s="11" t="str">
        <v>Male</v>
      </c>
      <c r="J6" s="14" t="str">
        <v>3/19/1988</v>
      </c>
    </row>
    <row r="7" spans="1:10">
      <c r="A7" s="11">
        <v>1027</v>
      </c>
      <c r="B7" s="11" t="s">
        <v>136</v>
      </c>
      <c r="C7" s="11" t="s">
        <v>133</v>
      </c>
      <c r="D7" s="15">
        <v>34336</v>
      </c>
      <c r="G7" s="11">
        <v>1006</v>
      </c>
      <c r="H7" s="11" t="str">
        <v>Michael Foster</v>
      </c>
      <c r="I7" s="11" t="str">
        <v>Male</v>
      </c>
      <c r="J7" s="14">
        <v>28784</v>
      </c>
    </row>
    <row r="8" spans="1:10">
      <c r="A8" s="11">
        <v>1028</v>
      </c>
      <c r="B8" s="11" t="s">
        <v>137</v>
      </c>
      <c r="C8" s="11" t="s">
        <v>129</v>
      </c>
      <c r="D8" s="11" t="s">
        <v>138</v>
      </c>
      <c r="G8" s="11">
        <v>1007</v>
      </c>
      <c r="H8" s="11" t="str">
        <v>Angela Hubbard</v>
      </c>
      <c r="I8" s="11" t="str">
        <v>Male</v>
      </c>
      <c r="J8" s="14">
        <v>32126</v>
      </c>
    </row>
    <row r="9" spans="1:10">
      <c r="A9" s="11">
        <v>1029</v>
      </c>
      <c r="B9" s="11" t="s">
        <v>139</v>
      </c>
      <c r="C9" s="11" t="s">
        <v>129</v>
      </c>
      <c r="D9" s="15">
        <v>34494</v>
      </c>
      <c r="G9" s="11">
        <v>1008</v>
      </c>
      <c r="H9" s="11" t="str">
        <v>Keith Peters</v>
      </c>
      <c r="I9" s="11" t="str">
        <v>Female</v>
      </c>
      <c r="J9" s="14">
        <v>30997</v>
      </c>
    </row>
    <row r="10" spans="1:10">
      <c r="A10" s="11">
        <v>1030</v>
      </c>
      <c r="B10" s="11" t="s">
        <v>140</v>
      </c>
      <c r="C10" s="11" t="s">
        <v>129</v>
      </c>
      <c r="D10" s="15">
        <v>37253</v>
      </c>
      <c r="G10" s="11">
        <v>1009</v>
      </c>
      <c r="H10" s="11" t="str">
        <v>Jonathan Salazar</v>
      </c>
      <c r="I10" s="11" t="str">
        <v>Female</v>
      </c>
      <c r="J10" s="14">
        <v>29145</v>
      </c>
    </row>
    <row r="11" spans="1:10">
      <c r="A11" s="11">
        <v>1031</v>
      </c>
      <c r="B11" s="11" t="s">
        <v>141</v>
      </c>
      <c r="C11" s="11" t="s">
        <v>133</v>
      </c>
      <c r="D11" s="11" t="s">
        <v>142</v>
      </c>
      <c r="G11" s="11">
        <v>1010</v>
      </c>
      <c r="H11" s="11" t="str">
        <v>Kathryn Bailey</v>
      </c>
      <c r="I11" s="11" t="str">
        <v>Male</v>
      </c>
      <c r="J11" s="14">
        <v>27582</v>
      </c>
    </row>
    <row r="12" spans="1:10">
      <c r="A12" s="11">
        <v>1032</v>
      </c>
      <c r="B12" s="11" t="s">
        <v>143</v>
      </c>
      <c r="C12" s="11" t="s">
        <v>129</v>
      </c>
      <c r="D12" s="15">
        <v>30535</v>
      </c>
      <c r="G12" s="11">
        <v>1011</v>
      </c>
      <c r="H12" s="11" t="str">
        <v>Timothy Mueller</v>
      </c>
      <c r="I12" s="11" t="str">
        <v>Female</v>
      </c>
      <c r="J12" s="14" t="str">
        <v>3/26/1991</v>
      </c>
    </row>
    <row r="13" spans="1:10">
      <c r="A13" s="11">
        <v>1033</v>
      </c>
      <c r="B13" s="11" t="s">
        <v>144</v>
      </c>
      <c r="C13" s="11" t="s">
        <v>133</v>
      </c>
      <c r="D13" s="15">
        <v>37237</v>
      </c>
      <c r="G13" s="11">
        <v>1012</v>
      </c>
      <c r="H13" s="11" t="str">
        <v>Miss Carrie Newton</v>
      </c>
      <c r="I13" s="11" t="str">
        <v>Male</v>
      </c>
      <c r="J13" s="14">
        <v>32366</v>
      </c>
    </row>
    <row r="14" spans="1:10">
      <c r="A14" s="11">
        <v>1034</v>
      </c>
      <c r="B14" s="11" t="s">
        <v>145</v>
      </c>
      <c r="C14" s="11" t="s">
        <v>129</v>
      </c>
      <c r="D14" s="15">
        <v>29017</v>
      </c>
      <c r="G14" s="11">
        <v>1013</v>
      </c>
      <c r="H14" s="11" t="str">
        <v>Debbie Martinez</v>
      </c>
      <c r="I14" s="11" t="str">
        <v>Male</v>
      </c>
      <c r="J14" s="14">
        <v>32445</v>
      </c>
    </row>
    <row r="15" spans="1:10">
      <c r="G15" s="11">
        <v>1014</v>
      </c>
      <c r="H15" s="11" t="str">
        <v>Patricia Anderson</v>
      </c>
      <c r="I15" s="11" t="str">
        <v>Female</v>
      </c>
      <c r="J15" s="14" t="str">
        <v>2/20/1981</v>
      </c>
    </row>
    <row r="16" spans="1:10">
      <c r="A16" s="16" t="s">
        <v>146</v>
      </c>
      <c r="B16" s="16"/>
      <c r="C16" s="16"/>
      <c r="D16" s="16"/>
      <c r="G16" s="11">
        <v>1015</v>
      </c>
      <c r="H16" s="11" t="str">
        <v>Joshua Taylor</v>
      </c>
      <c r="I16" s="11" t="str">
        <v>Female</v>
      </c>
      <c r="J16" s="14" t="str">
        <v>7/20/1998</v>
      </c>
    </row>
    <row r="17" spans="1:10">
      <c r="A17" s="11" t="s">
        <v>124</v>
      </c>
      <c r="B17" s="11" t="s">
        <v>125</v>
      </c>
      <c r="C17" s="11" t="s">
        <v>126</v>
      </c>
      <c r="D17" s="11" t="s">
        <v>127</v>
      </c>
      <c r="G17" s="11">
        <v>1016</v>
      </c>
      <c r="H17" s="11" t="str">
        <v>Samantha Vasquez</v>
      </c>
      <c r="I17" s="11" t="str">
        <v>Female</v>
      </c>
      <c r="J17" s="14">
        <v>29883</v>
      </c>
    </row>
    <row r="18" spans="1:10">
      <c r="A18" s="11">
        <v>1010</v>
      </c>
      <c r="B18" s="11" t="s">
        <v>147</v>
      </c>
      <c r="C18" s="11" t="s">
        <v>129</v>
      </c>
      <c r="D18" s="15">
        <v>27582</v>
      </c>
      <c r="G18" s="11">
        <v>1017</v>
      </c>
      <c r="H18" s="11" t="str">
        <v>Mr. Michael Scott</v>
      </c>
      <c r="I18" s="11" t="str">
        <v>Female</v>
      </c>
      <c r="J18" s="14">
        <v>30440</v>
      </c>
    </row>
    <row r="19" spans="1:10">
      <c r="A19" s="11">
        <v>1011</v>
      </c>
      <c r="B19" s="11" t="s">
        <v>148</v>
      </c>
      <c r="C19" s="11" t="s">
        <v>133</v>
      </c>
      <c r="D19" s="11" t="s">
        <v>149</v>
      </c>
      <c r="G19" s="11">
        <v>1018</v>
      </c>
      <c r="H19" s="11" t="str">
        <v>Bianca Wong</v>
      </c>
      <c r="I19" s="11" t="str">
        <v>Male</v>
      </c>
      <c r="J19" s="14" t="str">
        <v>1/17/1993</v>
      </c>
    </row>
    <row r="20" spans="1:10">
      <c r="A20" s="11">
        <v>1012</v>
      </c>
      <c r="B20" s="11" t="s">
        <v>150</v>
      </c>
      <c r="C20" s="11" t="s">
        <v>129</v>
      </c>
      <c r="D20" s="15">
        <v>32366</v>
      </c>
      <c r="G20" s="11">
        <v>1019</v>
      </c>
      <c r="H20" s="11" t="str">
        <v>Willie Martinez</v>
      </c>
      <c r="I20" s="11" t="str">
        <v>Female</v>
      </c>
      <c r="J20" s="14">
        <v>28557</v>
      </c>
    </row>
    <row r="21" spans="1:10">
      <c r="A21" s="11">
        <v>1013</v>
      </c>
      <c r="B21" s="11" t="s">
        <v>151</v>
      </c>
      <c r="C21" s="11" t="s">
        <v>129</v>
      </c>
      <c r="D21" s="15">
        <v>32445</v>
      </c>
      <c r="G21" s="11">
        <v>1020</v>
      </c>
      <c r="H21" s="11" t="str">
        <v>Tracey Gonzalez</v>
      </c>
      <c r="I21" s="11" t="str">
        <v>Female</v>
      </c>
      <c r="J21" s="14">
        <v>27717</v>
      </c>
    </row>
    <row r="22" spans="1:10">
      <c r="A22" s="11">
        <v>1014</v>
      </c>
      <c r="B22" s="11" t="s">
        <v>152</v>
      </c>
      <c r="C22" s="11" t="s">
        <v>133</v>
      </c>
      <c r="D22" s="11" t="s">
        <v>153</v>
      </c>
      <c r="G22" s="11">
        <v>1021</v>
      </c>
      <c r="H22" s="11" t="str">
        <v>Jessica Lynch</v>
      </c>
      <c r="I22" s="11" t="str">
        <v>Male</v>
      </c>
      <c r="J22" s="14">
        <v>36503</v>
      </c>
    </row>
    <row r="23" spans="1:10">
      <c r="A23" s="11">
        <v>1015</v>
      </c>
      <c r="B23" s="11" t="s">
        <v>154</v>
      </c>
      <c r="C23" s="11" t="s">
        <v>133</v>
      </c>
      <c r="D23" s="11" t="s">
        <v>155</v>
      </c>
      <c r="G23" s="11">
        <v>1022</v>
      </c>
      <c r="H23" s="11" t="str">
        <v>Autumn Murphy</v>
      </c>
      <c r="I23" s="11" t="str">
        <v>Female</v>
      </c>
      <c r="J23" s="14">
        <v>26916</v>
      </c>
    </row>
    <row r="24" spans="1:10">
      <c r="A24" s="11">
        <v>1016</v>
      </c>
      <c r="B24" s="11" t="s">
        <v>156</v>
      </c>
      <c r="C24" s="11" t="s">
        <v>133</v>
      </c>
      <c r="D24" s="15">
        <v>29883</v>
      </c>
      <c r="G24" s="11">
        <v>1023</v>
      </c>
      <c r="H24" s="11" t="str">
        <v>Amy Peterson</v>
      </c>
      <c r="I24" s="11" t="str">
        <v>Male</v>
      </c>
      <c r="J24" s="14" t="str">
        <v>8/19/2004</v>
      </c>
    </row>
    <row r="25" spans="1:10">
      <c r="A25" s="11">
        <v>1017</v>
      </c>
      <c r="B25" s="11" t="s">
        <v>157</v>
      </c>
      <c r="C25" s="11" t="s">
        <v>133</v>
      </c>
      <c r="D25" s="15">
        <v>30440</v>
      </c>
      <c r="G25" s="11">
        <v>1024</v>
      </c>
      <c r="H25" s="11" t="str">
        <v>Karen Shepherd</v>
      </c>
      <c r="I25" s="11" t="str">
        <v>Male</v>
      </c>
      <c r="J25" s="14">
        <v>37661</v>
      </c>
    </row>
    <row r="26" spans="1:10">
      <c r="A26" s="11">
        <v>1018</v>
      </c>
      <c r="B26" s="11" t="s">
        <v>158</v>
      </c>
      <c r="C26" s="11" t="s">
        <v>129</v>
      </c>
      <c r="D26" s="11" t="s">
        <v>159</v>
      </c>
      <c r="G26" s="11">
        <v>1025</v>
      </c>
      <c r="H26" s="11" t="str">
        <v>Christopher Mendez</v>
      </c>
      <c r="I26" s="11" t="str">
        <v>Female</v>
      </c>
      <c r="J26" s="14">
        <v>33702</v>
      </c>
    </row>
    <row r="27" spans="1:10">
      <c r="A27" s="11">
        <v>1019</v>
      </c>
      <c r="B27" s="11" t="s">
        <v>160</v>
      </c>
      <c r="C27" s="11" t="s">
        <v>133</v>
      </c>
      <c r="D27" s="15">
        <v>28557</v>
      </c>
      <c r="G27" s="11">
        <v>1026</v>
      </c>
      <c r="H27" s="11" t="str">
        <v>Clayton Torres</v>
      </c>
      <c r="I27" s="11" t="str">
        <v>Female</v>
      </c>
      <c r="J27" s="14" t="str">
        <v>9/28/1999</v>
      </c>
    </row>
    <row r="28" spans="1:10">
      <c r="A28" s="11">
        <v>1020</v>
      </c>
      <c r="B28" s="11" t="s">
        <v>161</v>
      </c>
      <c r="C28" s="11" t="s">
        <v>133</v>
      </c>
      <c r="D28" s="15">
        <v>27717</v>
      </c>
      <c r="G28" s="11">
        <v>1027</v>
      </c>
      <c r="H28" s="11" t="str">
        <v>Nicholas Jenkins</v>
      </c>
      <c r="I28" s="11" t="str">
        <v>Female</v>
      </c>
      <c r="J28" s="14">
        <v>34336</v>
      </c>
    </row>
    <row r="29" spans="1:10">
      <c r="A29" s="11">
        <v>1021</v>
      </c>
      <c r="B29" s="11" t="s">
        <v>162</v>
      </c>
      <c r="C29" s="11" t="s">
        <v>129</v>
      </c>
      <c r="D29" s="15">
        <v>36503</v>
      </c>
      <c r="G29" s="11">
        <v>1028</v>
      </c>
      <c r="H29" s="11" t="str">
        <v>Miss Tammy Smith</v>
      </c>
      <c r="I29" s="11" t="str">
        <v>Male</v>
      </c>
      <c r="J29" s="14" t="str">
        <v>1/18/1978</v>
      </c>
    </row>
    <row r="30" spans="1:10">
      <c r="A30" s="11">
        <v>1022</v>
      </c>
      <c r="B30" s="11" t="s">
        <v>163</v>
      </c>
      <c r="C30" s="11" t="s">
        <v>133</v>
      </c>
      <c r="D30" s="15">
        <v>26916</v>
      </c>
      <c r="G30" s="11">
        <v>1029</v>
      </c>
      <c r="H30" s="11" t="str">
        <v>Andres Simpson</v>
      </c>
      <c r="I30" s="11" t="str">
        <v>Male</v>
      </c>
      <c r="J30" s="14">
        <v>34494</v>
      </c>
    </row>
    <row r="31" spans="1:10">
      <c r="G31" s="11">
        <v>1030</v>
      </c>
      <c r="H31" s="11" t="str">
        <v>Barbara Brown</v>
      </c>
      <c r="I31" s="11" t="str">
        <v>Male</v>
      </c>
      <c r="J31" s="14">
        <v>37253</v>
      </c>
    </row>
    <row r="32" spans="1:10">
      <c r="A32" s="17" t="s">
        <v>164</v>
      </c>
      <c r="B32" s="17"/>
      <c r="C32" s="17"/>
      <c r="D32" s="17"/>
      <c r="G32" s="11">
        <v>1031</v>
      </c>
      <c r="H32" s="11" t="str">
        <v>Julie Mcdaniel</v>
      </c>
      <c r="I32" s="11" t="str">
        <v>Female</v>
      </c>
      <c r="J32" s="14" t="str">
        <v>1/30/1992</v>
      </c>
    </row>
    <row r="33" spans="1:10">
      <c r="A33" s="11" t="s">
        <v>124</v>
      </c>
      <c r="B33" s="11" t="s">
        <v>125</v>
      </c>
      <c r="C33" s="11" t="s">
        <v>126</v>
      </c>
      <c r="D33" s="11" t="s">
        <v>127</v>
      </c>
      <c r="G33" s="11">
        <v>1032</v>
      </c>
      <c r="H33" s="11" t="str">
        <v>Christopher Gross</v>
      </c>
      <c r="I33" s="11" t="str">
        <v>Male</v>
      </c>
      <c r="J33" s="14">
        <v>30535</v>
      </c>
    </row>
    <row r="34" spans="1:10">
      <c r="A34" s="11">
        <v>1001</v>
      </c>
      <c r="B34" s="11" t="s">
        <v>165</v>
      </c>
      <c r="C34" s="11" t="s">
        <v>129</v>
      </c>
      <c r="D34" s="15">
        <v>36312</v>
      </c>
      <c r="G34" s="11">
        <v>1033</v>
      </c>
      <c r="H34" s="11" t="str">
        <v>James Smith</v>
      </c>
      <c r="I34" s="11" t="str">
        <v>Female</v>
      </c>
      <c r="J34" s="14">
        <v>37237</v>
      </c>
    </row>
    <row r="35" spans="1:10">
      <c r="A35" s="11">
        <v>1002</v>
      </c>
      <c r="B35" s="11" t="s">
        <v>166</v>
      </c>
      <c r="C35" s="11" t="s">
        <v>133</v>
      </c>
      <c r="D35" s="15">
        <v>33209</v>
      </c>
      <c r="G35" s="11">
        <v>1034</v>
      </c>
      <c r="H35" s="11" t="str">
        <v>Jason Johnson</v>
      </c>
      <c r="I35" s="11" t="str">
        <v>Male</v>
      </c>
      <c r="J35" s="14">
        <v>29017</v>
      </c>
    </row>
    <row r="36" spans="1:10">
      <c r="A36" s="11">
        <v>1003</v>
      </c>
      <c r="B36" s="11" t="s">
        <v>167</v>
      </c>
      <c r="C36" s="11" t="s">
        <v>133</v>
      </c>
      <c r="D36" s="15">
        <v>30562</v>
      </c>
    </row>
    <row r="37" spans="1:10">
      <c r="A37" s="11">
        <v>1004</v>
      </c>
      <c r="B37" s="11" t="s">
        <v>168</v>
      </c>
      <c r="C37" s="11" t="s">
        <v>133</v>
      </c>
      <c r="D37" s="15">
        <v>32579</v>
      </c>
    </row>
    <row r="38" spans="1:10">
      <c r="A38" s="11">
        <v>1005</v>
      </c>
      <c r="B38" s="11" t="s">
        <v>169</v>
      </c>
      <c r="C38" s="11" t="s">
        <v>129</v>
      </c>
      <c r="D38" s="15" t="s">
        <v>170</v>
      </c>
    </row>
    <row r="39" spans="1:10">
      <c r="A39" s="11">
        <v>1006</v>
      </c>
      <c r="B39" s="11" t="s">
        <v>171</v>
      </c>
      <c r="C39" s="11" t="s">
        <v>129</v>
      </c>
      <c r="D39" s="15">
        <v>28784</v>
      </c>
    </row>
    <row r="40" spans="1:10">
      <c r="A40" s="11">
        <v>1007</v>
      </c>
      <c r="B40" s="11" t="s">
        <v>172</v>
      </c>
      <c r="C40" s="11" t="s">
        <v>129</v>
      </c>
      <c r="D40" s="15">
        <v>32126</v>
      </c>
    </row>
    <row r="41" spans="1:10">
      <c r="A41" s="11">
        <v>1008</v>
      </c>
      <c r="B41" s="11" t="s">
        <v>173</v>
      </c>
      <c r="C41" s="11" t="s">
        <v>133</v>
      </c>
      <c r="D41" s="15">
        <v>30997</v>
      </c>
    </row>
    <row r="42" spans="1:10">
      <c r="A42" s="11">
        <v>1009</v>
      </c>
      <c r="B42" s="11" t="s">
        <v>174</v>
      </c>
      <c r="C42" s="11" t="s">
        <v>133</v>
      </c>
      <c r="D42" s="15">
        <v>29145</v>
      </c>
    </row>
  </sheetData>
  <mergeCells count="3">
    <mergeCell ref="A1:D1"/>
    <mergeCell ref="A16:D16"/>
    <mergeCell ref="A32:D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workbookViewId="0">
      <selection activeCell="E17" sqref="E17"/>
    </sheetView>
  </sheetViews>
  <sheetFormatPr defaultColWidth="8.72727272727273" defaultRowHeight="14.5"/>
  <cols>
    <col min="1" max="1" width="8.09090909090909" customWidth="1"/>
    <col min="2" max="2" width="22.1818181818182" customWidth="1"/>
    <col min="3" max="3" width="25" customWidth="1"/>
    <col min="4" max="4" width="15.0909090909091" customWidth="1"/>
    <col min="5" max="5" width="14.3636363636364" customWidth="1"/>
    <col min="7" max="7" width="8.09090909090909" customWidth="1"/>
    <col min="8" max="8" width="19.6363636363636" customWidth="1"/>
    <col min="9" max="9" width="17.8181818181818" customWidth="1"/>
    <col min="10" max="10" width="15.0909090909091" customWidth="1"/>
    <col min="11" max="11" width="20.5454545454545" customWidth="1"/>
    <col min="12" max="12" width="25" customWidth="1"/>
    <col min="13" max="13" width="22.1818181818182" customWidth="1"/>
    <col min="14" max="14" width="11.9090909090909" customWidth="1"/>
    <col min="15" max="15" width="10.2727272727273" customWidth="1"/>
    <col min="16" max="16" width="14.3636363636364" customWidth="1"/>
  </cols>
  <sheetData>
    <row r="1" ht="15.5" spans="1:18">
      <c r="A1" s="6" t="s">
        <v>175</v>
      </c>
      <c r="B1" s="7"/>
      <c r="C1" s="7"/>
      <c r="D1" s="7"/>
      <c r="G1" s="8" t="str" cm="1">
        <f t="array" ref="G1:P13">_xlfn.HSTACK(A2:D14,B17:C29,B32:E44)</f>
        <v>Emp_ID</v>
      </c>
      <c r="H1" s="8" t="str">
        <v>Employee_name</v>
      </c>
      <c r="I1" s="8" t="str">
        <v>Employee_Gender</v>
      </c>
      <c r="J1" s="9" t="str">
        <v>Employee_DOB</v>
      </c>
      <c r="K1" s="8" t="str">
        <v>Emp_Mobile Number</v>
      </c>
      <c r="L1" s="8" t="str">
        <v>Employee_Email_ID</v>
      </c>
      <c r="M1" s="8" t="str">
        <v>Reporting_manager_ID</v>
      </c>
      <c r="N1" s="8" t="str">
        <v>Department</v>
      </c>
      <c r="O1" s="8" t="str">
        <v>Branch_ID</v>
      </c>
      <c r="P1" s="8" t="str">
        <v>Job_Title</v>
      </c>
      <c r="Q1" s="1"/>
      <c r="R1" s="1"/>
    </row>
    <row r="2" spans="1:18">
      <c r="A2" s="1" t="s">
        <v>124</v>
      </c>
      <c r="B2" s="1" t="s">
        <v>125</v>
      </c>
      <c r="C2" s="1" t="s">
        <v>126</v>
      </c>
      <c r="D2" s="1" t="s">
        <v>127</v>
      </c>
      <c r="G2" s="1">
        <v>1001</v>
      </c>
      <c r="H2" s="1" t="str">
        <v>Amy Peterson</v>
      </c>
      <c r="I2" s="1" t="str">
        <v>Male</v>
      </c>
      <c r="J2" s="10" t="str">
        <v>8/19/2004</v>
      </c>
      <c r="K2" s="1">
        <v>2315366229</v>
      </c>
      <c r="L2" s="1" t="str">
        <v>erandall@example.net</v>
      </c>
      <c r="M2" s="1">
        <v>5028</v>
      </c>
      <c r="N2" s="1" t="str">
        <v>Operations</v>
      </c>
      <c r="O2" s="1">
        <v>9</v>
      </c>
      <c r="P2" s="1" t="str">
        <v>CEO</v>
      </c>
      <c r="Q2" s="1"/>
      <c r="R2" s="1"/>
    </row>
    <row r="3" spans="1:18">
      <c r="A3" s="1">
        <v>1001</v>
      </c>
      <c r="B3" s="1" t="s">
        <v>128</v>
      </c>
      <c r="C3" s="1" t="s">
        <v>129</v>
      </c>
      <c r="D3" s="1" t="s">
        <v>130</v>
      </c>
      <c r="G3" s="1">
        <v>1002</v>
      </c>
      <c r="H3" s="1" t="str">
        <v>Karen Shepherd</v>
      </c>
      <c r="I3" s="1" t="str">
        <v>Male</v>
      </c>
      <c r="J3" s="10">
        <v>37661</v>
      </c>
      <c r="K3" s="1">
        <v>807886826</v>
      </c>
      <c r="L3" s="1" t="str">
        <v>thynovak@example.net</v>
      </c>
      <c r="M3" s="1">
        <v>5011</v>
      </c>
      <c r="N3" s="1" t="str">
        <v>HR</v>
      </c>
      <c r="O3" s="1">
        <v>12</v>
      </c>
      <c r="P3" s="1" t="str">
        <v>COO</v>
      </c>
      <c r="Q3" s="1"/>
      <c r="R3" s="1"/>
    </row>
    <row r="4" spans="1:18">
      <c r="A4" s="1">
        <v>1002</v>
      </c>
      <c r="B4" s="1" t="s">
        <v>131</v>
      </c>
      <c r="C4" s="1" t="s">
        <v>129</v>
      </c>
      <c r="D4" s="5">
        <v>37661</v>
      </c>
      <c r="G4" s="1">
        <v>1003</v>
      </c>
      <c r="H4" s="1" t="str">
        <v>Christopher Mendez</v>
      </c>
      <c r="I4" s="1" t="str">
        <v>Female</v>
      </c>
      <c r="J4" s="10">
        <v>33702</v>
      </c>
      <c r="K4" s="1">
        <v>5830455932</v>
      </c>
      <c r="L4" s="1" t="str">
        <v>ttany96@example.net</v>
      </c>
      <c r="M4" s="1">
        <v>5038</v>
      </c>
      <c r="N4" s="1" t="str">
        <v>IT</v>
      </c>
      <c r="O4" s="1">
        <v>17</v>
      </c>
      <c r="P4" s="1" t="str">
        <v>CFO</v>
      </c>
      <c r="Q4" s="1"/>
      <c r="R4" s="1"/>
    </row>
    <row r="5" spans="1:18">
      <c r="A5" s="1">
        <v>1003</v>
      </c>
      <c r="B5" s="1" t="s">
        <v>132</v>
      </c>
      <c r="C5" s="1" t="s">
        <v>133</v>
      </c>
      <c r="D5" s="5">
        <v>33702</v>
      </c>
      <c r="G5" s="1">
        <v>1004</v>
      </c>
      <c r="H5" s="1" t="str">
        <v>Clayton Torres</v>
      </c>
      <c r="I5" s="1" t="str">
        <v>Female</v>
      </c>
      <c r="J5" s="10" t="str">
        <v>9/28/1999</v>
      </c>
      <c r="K5" s="1">
        <v>6782478893</v>
      </c>
      <c r="L5" s="1" t="str">
        <v>fordrenee@example.net</v>
      </c>
      <c r="M5" s="1">
        <v>5046</v>
      </c>
      <c r="N5" s="1" t="str">
        <v>HR</v>
      </c>
      <c r="O5" s="1">
        <v>9</v>
      </c>
      <c r="P5" s="1" t="str">
        <v>CHRO</v>
      </c>
      <c r="Q5" s="1"/>
      <c r="R5" s="1"/>
    </row>
    <row r="6" spans="1:18">
      <c r="A6" s="1">
        <v>1004</v>
      </c>
      <c r="B6" s="1" t="s">
        <v>134</v>
      </c>
      <c r="C6" s="1" t="s">
        <v>133</v>
      </c>
      <c r="D6" s="1" t="s">
        <v>135</v>
      </c>
      <c r="G6" s="1">
        <v>1005</v>
      </c>
      <c r="H6" s="1" t="str">
        <v>Nicholas Jenkins</v>
      </c>
      <c r="I6" s="1" t="str">
        <v>Female</v>
      </c>
      <c r="J6" s="10">
        <v>34336</v>
      </c>
      <c r="K6" s="1">
        <v>7228707342</v>
      </c>
      <c r="L6" s="1" t="str">
        <v>jacqueline@example.net</v>
      </c>
      <c r="M6" s="1">
        <v>5042</v>
      </c>
      <c r="N6" s="1" t="str">
        <v>Operations</v>
      </c>
      <c r="O6" s="1">
        <v>18</v>
      </c>
      <c r="P6" s="1" t="str">
        <v>Manager</v>
      </c>
      <c r="Q6" s="1"/>
      <c r="R6" s="1"/>
    </row>
    <row r="7" spans="1:18">
      <c r="A7" s="1">
        <v>1005</v>
      </c>
      <c r="B7" s="1" t="s">
        <v>136</v>
      </c>
      <c r="C7" s="1" t="s">
        <v>133</v>
      </c>
      <c r="D7" s="5">
        <v>34336</v>
      </c>
      <c r="G7" s="1">
        <v>1006</v>
      </c>
      <c r="H7" s="1" t="str">
        <v>Miss Tammy Smith</v>
      </c>
      <c r="I7" s="1" t="str">
        <v>Male</v>
      </c>
      <c r="J7" s="10" t="str">
        <v>1/18/1978</v>
      </c>
      <c r="K7" s="1">
        <v>1154256848</v>
      </c>
      <c r="L7" s="1" t="str">
        <v>wthomas@example.com</v>
      </c>
      <c r="M7" s="1">
        <v>5039</v>
      </c>
      <c r="N7" s="1" t="str">
        <v>Sales</v>
      </c>
      <c r="O7" s="1">
        <v>10</v>
      </c>
      <c r="P7" s="1" t="str">
        <v>Cashier</v>
      </c>
      <c r="Q7" s="1"/>
      <c r="R7" s="1"/>
    </row>
    <row r="8" spans="1:18">
      <c r="A8" s="1">
        <v>1006</v>
      </c>
      <c r="B8" s="1" t="s">
        <v>137</v>
      </c>
      <c r="C8" s="1" t="s">
        <v>129</v>
      </c>
      <c r="D8" s="1" t="s">
        <v>138</v>
      </c>
      <c r="G8" s="1">
        <v>1007</v>
      </c>
      <c r="H8" s="1" t="str">
        <v>Andres Simpson</v>
      </c>
      <c r="I8" s="1" t="str">
        <v>Male</v>
      </c>
      <c r="J8" s="10">
        <v>34494</v>
      </c>
      <c r="K8" s="1">
        <v>5043986660</v>
      </c>
      <c r="L8" s="1" t="str">
        <v>hakaren@example.net</v>
      </c>
      <c r="M8" s="1">
        <v>5006</v>
      </c>
      <c r="N8" s="1" t="str">
        <v>Sales</v>
      </c>
      <c r="O8" s="1">
        <v>21</v>
      </c>
      <c r="P8" s="1" t="str">
        <v>Manager</v>
      </c>
      <c r="Q8" s="1"/>
      <c r="R8" s="1"/>
    </row>
    <row r="9" spans="1:18">
      <c r="A9" s="1">
        <v>1007</v>
      </c>
      <c r="B9" s="1" t="s">
        <v>139</v>
      </c>
      <c r="C9" s="1" t="s">
        <v>129</v>
      </c>
      <c r="D9" s="5">
        <v>34494</v>
      </c>
      <c r="G9" s="1">
        <v>1008</v>
      </c>
      <c r="H9" s="1" t="str">
        <v>Barbara Brown</v>
      </c>
      <c r="I9" s="1" t="str">
        <v>Male</v>
      </c>
      <c r="J9" s="10">
        <v>37253</v>
      </c>
      <c r="K9" s="1">
        <v>7867038376</v>
      </c>
      <c r="L9" s="1" t="str">
        <v>fflynn@example.org</v>
      </c>
      <c r="M9" s="1">
        <v>5038</v>
      </c>
      <c r="N9" s="1" t="str">
        <v>Finance</v>
      </c>
      <c r="O9" s="1">
        <v>12</v>
      </c>
      <c r="P9" s="1" t="str">
        <v>Delivery Driver</v>
      </c>
      <c r="Q9" s="1"/>
      <c r="R9" s="1"/>
    </row>
    <row r="10" spans="1:18">
      <c r="A10" s="1">
        <v>1008</v>
      </c>
      <c r="B10" s="1" t="s">
        <v>140</v>
      </c>
      <c r="C10" s="1" t="s">
        <v>129</v>
      </c>
      <c r="D10" s="5">
        <v>37253</v>
      </c>
      <c r="G10" s="1">
        <v>1009</v>
      </c>
      <c r="H10" s="1" t="str">
        <v>Julie Mcdaniel</v>
      </c>
      <c r="I10" s="1" t="str">
        <v>Female</v>
      </c>
      <c r="J10" s="10" t="str">
        <v>1/30/1992</v>
      </c>
      <c r="K10" s="1">
        <v>6433876874</v>
      </c>
      <c r="L10" s="1" t="str">
        <v>christopher@example.org</v>
      </c>
      <c r="M10" s="1">
        <v>5048</v>
      </c>
      <c r="N10" s="1" t="str">
        <v>Sales</v>
      </c>
      <c r="O10" s="1">
        <v>12</v>
      </c>
      <c r="P10" s="1" t="str">
        <v>Chef</v>
      </c>
      <c r="Q10" s="1"/>
      <c r="R10" s="1"/>
    </row>
    <row r="11" spans="1:18">
      <c r="A11" s="1">
        <v>1009</v>
      </c>
      <c r="B11" s="1" t="s">
        <v>141</v>
      </c>
      <c r="C11" s="1" t="s">
        <v>133</v>
      </c>
      <c r="D11" s="1" t="s">
        <v>142</v>
      </c>
      <c r="G11" s="1">
        <v>1010</v>
      </c>
      <c r="H11" s="1" t="str">
        <v>Christopher Gross</v>
      </c>
      <c r="I11" s="1" t="str">
        <v>Male</v>
      </c>
      <c r="J11" s="10">
        <v>30535</v>
      </c>
      <c r="K11" s="1">
        <v>3403185699</v>
      </c>
      <c r="L11" s="1" t="str">
        <v>iaul72@example.org</v>
      </c>
      <c r="M11" s="1">
        <v>5044</v>
      </c>
      <c r="N11" s="1" t="str">
        <v>IT</v>
      </c>
      <c r="O11" s="1">
        <v>5</v>
      </c>
      <c r="P11" s="1" t="str">
        <v>Delivery Driver</v>
      </c>
      <c r="Q11" s="1"/>
      <c r="R11" s="1"/>
    </row>
    <row r="12" spans="1:18">
      <c r="A12" s="1">
        <v>1010</v>
      </c>
      <c r="B12" s="1" t="s">
        <v>143</v>
      </c>
      <c r="C12" s="1" t="s">
        <v>129</v>
      </c>
      <c r="D12" s="5">
        <v>30535</v>
      </c>
      <c r="G12" s="1">
        <v>1011</v>
      </c>
      <c r="H12" s="1" t="str">
        <v>James Smith</v>
      </c>
      <c r="I12" s="1" t="str">
        <v>Female</v>
      </c>
      <c r="J12" s="10">
        <v>37237</v>
      </c>
      <c r="K12" s="1">
        <v>1066055070</v>
      </c>
      <c r="L12" s="1" t="str">
        <v>tonbrian@example.net</v>
      </c>
      <c r="M12" s="1">
        <v>5004</v>
      </c>
      <c r="N12" s="1" t="str">
        <v>Sales</v>
      </c>
      <c r="O12" s="1">
        <v>14</v>
      </c>
      <c r="P12" s="1" t="str">
        <v>Manager</v>
      </c>
      <c r="Q12" s="1"/>
      <c r="R12" s="1"/>
    </row>
    <row r="13" spans="1:18">
      <c r="A13" s="1">
        <v>1011</v>
      </c>
      <c r="B13" s="1" t="s">
        <v>144</v>
      </c>
      <c r="C13" s="1" t="s">
        <v>133</v>
      </c>
      <c r="D13" s="5">
        <v>37237</v>
      </c>
      <c r="G13" s="1">
        <v>1012</v>
      </c>
      <c r="H13" s="1" t="str">
        <v>Jason Johnson</v>
      </c>
      <c r="I13" s="1" t="str">
        <v>Male</v>
      </c>
      <c r="J13" s="10">
        <v>29017</v>
      </c>
      <c r="K13" s="1">
        <v>2202734249</v>
      </c>
      <c r="L13" s="1" t="str">
        <v>olloyd@example.org</v>
      </c>
      <c r="M13" s="1">
        <v>5029</v>
      </c>
      <c r="N13" s="1" t="str">
        <v>Sales</v>
      </c>
      <c r="O13" s="1">
        <v>9</v>
      </c>
      <c r="P13" s="1" t="str">
        <v>Delivery Driver</v>
      </c>
      <c r="Q13" s="1"/>
      <c r="R13" s="1"/>
    </row>
    <row r="14" spans="1:18">
      <c r="A14" s="1">
        <v>1012</v>
      </c>
      <c r="B14" s="1" t="s">
        <v>145</v>
      </c>
      <c r="C14" s="1" t="s">
        <v>129</v>
      </c>
      <c r="D14" s="5">
        <v>29017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7" spans="1:6">
      <c r="A17" s="1" t="s">
        <v>124</v>
      </c>
      <c r="B17" s="1" t="s">
        <v>176</v>
      </c>
      <c r="C17" s="1" t="s">
        <v>177</v>
      </c>
    </row>
    <row r="18" spans="1:6">
      <c r="A18" s="1">
        <v>1001</v>
      </c>
      <c r="B18" s="1">
        <v>2315366229</v>
      </c>
      <c r="C18" s="1" t="s">
        <v>178</v>
      </c>
    </row>
    <row r="19" spans="1:6">
      <c r="A19" s="1">
        <v>1002</v>
      </c>
      <c r="B19" s="1">
        <v>807886826</v>
      </c>
      <c r="C19" s="1" t="s">
        <v>179</v>
      </c>
    </row>
    <row r="20" spans="1:6">
      <c r="A20" s="1">
        <v>1003</v>
      </c>
      <c r="B20" s="1">
        <v>5830455932</v>
      </c>
      <c r="C20" s="1" t="s">
        <v>180</v>
      </c>
    </row>
    <row r="21" spans="1:6">
      <c r="A21" s="1">
        <v>1004</v>
      </c>
      <c r="B21" s="1">
        <v>6782478893</v>
      </c>
      <c r="C21" s="1" t="s">
        <v>181</v>
      </c>
    </row>
    <row r="22" spans="1:6">
      <c r="A22" s="1">
        <v>1005</v>
      </c>
      <c r="B22" s="1">
        <v>7228707342</v>
      </c>
      <c r="C22" s="1" t="s">
        <v>182</v>
      </c>
    </row>
    <row r="23" spans="1:6">
      <c r="A23" s="1">
        <v>1006</v>
      </c>
      <c r="B23" s="1">
        <v>1154256848</v>
      </c>
      <c r="C23" s="1" t="s">
        <v>183</v>
      </c>
    </row>
    <row r="24" spans="1:6">
      <c r="A24" s="1">
        <v>1007</v>
      </c>
      <c r="B24" s="1">
        <v>5043986660</v>
      </c>
      <c r="C24" s="1" t="s">
        <v>184</v>
      </c>
    </row>
    <row r="25" spans="1:6">
      <c r="A25" s="1">
        <v>1008</v>
      </c>
      <c r="B25" s="1">
        <v>7867038376</v>
      </c>
      <c r="C25" s="1" t="s">
        <v>185</v>
      </c>
    </row>
    <row r="26" spans="1:6">
      <c r="A26" s="1">
        <v>1009</v>
      </c>
      <c r="B26" s="1">
        <v>6433876874</v>
      </c>
      <c r="C26" s="1" t="s">
        <v>186</v>
      </c>
    </row>
    <row r="27" spans="1:6">
      <c r="A27" s="1">
        <v>1010</v>
      </c>
      <c r="B27" s="1">
        <v>3403185699</v>
      </c>
      <c r="C27" s="1" t="s">
        <v>187</v>
      </c>
    </row>
    <row r="28" spans="1:6">
      <c r="A28" s="1">
        <v>1011</v>
      </c>
      <c r="B28" s="1">
        <v>1066055070</v>
      </c>
      <c r="C28" s="1" t="s">
        <v>188</v>
      </c>
    </row>
    <row r="29" spans="1:6">
      <c r="A29" s="1">
        <v>1012</v>
      </c>
      <c r="B29" s="1">
        <v>2202734249</v>
      </c>
      <c r="C29" s="1" t="s">
        <v>189</v>
      </c>
    </row>
    <row r="32" spans="1:6">
      <c r="A32" s="1" t="s">
        <v>124</v>
      </c>
      <c r="B32" s="1" t="s">
        <v>190</v>
      </c>
      <c r="C32" s="1" t="s">
        <v>191</v>
      </c>
      <c r="D32" s="1" t="s">
        <v>192</v>
      </c>
      <c r="E32" s="1" t="s">
        <v>193</v>
      </c>
      <c r="F32" s="1"/>
    </row>
    <row r="33" spans="1:6">
      <c r="A33" s="1">
        <v>1001</v>
      </c>
      <c r="B33" s="1">
        <v>5028</v>
      </c>
      <c r="C33" s="1" t="s">
        <v>194</v>
      </c>
      <c r="D33" s="1">
        <v>9</v>
      </c>
      <c r="E33" s="1" t="s">
        <v>195</v>
      </c>
      <c r="F33" s="1"/>
    </row>
    <row r="34" spans="1:6">
      <c r="A34" s="1">
        <v>1002</v>
      </c>
      <c r="B34" s="1">
        <v>5011</v>
      </c>
      <c r="C34" s="1" t="s">
        <v>196</v>
      </c>
      <c r="D34" s="1">
        <v>12</v>
      </c>
      <c r="E34" s="1" t="s">
        <v>197</v>
      </c>
      <c r="F34" s="1"/>
    </row>
    <row r="35" spans="1:6">
      <c r="A35" s="1">
        <v>1003</v>
      </c>
      <c r="B35" s="1">
        <v>5038</v>
      </c>
      <c r="C35" s="1" t="s">
        <v>198</v>
      </c>
      <c r="D35" s="1">
        <v>17</v>
      </c>
      <c r="E35" s="1" t="s">
        <v>199</v>
      </c>
      <c r="F35" s="1"/>
    </row>
    <row r="36" spans="1:6">
      <c r="A36" s="1">
        <v>1004</v>
      </c>
      <c r="B36" s="1">
        <v>5046</v>
      </c>
      <c r="C36" s="1" t="s">
        <v>196</v>
      </c>
      <c r="D36" s="1">
        <v>9</v>
      </c>
      <c r="E36" s="1" t="s">
        <v>200</v>
      </c>
      <c r="F36" s="1"/>
    </row>
    <row r="37" spans="1:6">
      <c r="A37" s="1">
        <v>1005</v>
      </c>
      <c r="B37" s="1">
        <v>5042</v>
      </c>
      <c r="C37" s="1" t="s">
        <v>194</v>
      </c>
      <c r="D37" s="1">
        <v>18</v>
      </c>
      <c r="E37" s="1" t="s">
        <v>201</v>
      </c>
      <c r="F37" s="1"/>
    </row>
    <row r="38" spans="1:6">
      <c r="A38" s="1">
        <v>1006</v>
      </c>
      <c r="B38" s="1">
        <v>5039</v>
      </c>
      <c r="C38" s="1" t="s">
        <v>202</v>
      </c>
      <c r="D38" s="1">
        <v>10</v>
      </c>
      <c r="E38" s="1" t="s">
        <v>203</v>
      </c>
      <c r="F38" s="1"/>
    </row>
    <row r="39" spans="1:6">
      <c r="A39" s="1">
        <v>1007</v>
      </c>
      <c r="B39" s="1">
        <v>5006</v>
      </c>
      <c r="C39" s="1" t="s">
        <v>202</v>
      </c>
      <c r="D39" s="1">
        <v>21</v>
      </c>
      <c r="E39" s="1" t="s">
        <v>201</v>
      </c>
      <c r="F39" s="1"/>
    </row>
    <row r="40" spans="1:6">
      <c r="A40" s="1">
        <v>1008</v>
      </c>
      <c r="B40" s="1">
        <v>5038</v>
      </c>
      <c r="C40" s="1" t="s">
        <v>204</v>
      </c>
      <c r="D40" s="1">
        <v>12</v>
      </c>
      <c r="E40" s="1" t="s">
        <v>205</v>
      </c>
      <c r="F40" s="1"/>
    </row>
    <row r="41" spans="1:6">
      <c r="A41" s="1">
        <v>1009</v>
      </c>
      <c r="B41" s="1">
        <v>5048</v>
      </c>
      <c r="C41" s="1" t="s">
        <v>202</v>
      </c>
      <c r="D41" s="1">
        <v>12</v>
      </c>
      <c r="E41" s="1" t="s">
        <v>206</v>
      </c>
      <c r="F41" s="1"/>
    </row>
    <row r="42" spans="1:6">
      <c r="A42" s="1">
        <v>1010</v>
      </c>
      <c r="B42" s="1">
        <v>5044</v>
      </c>
      <c r="C42" s="1" t="s">
        <v>198</v>
      </c>
      <c r="D42" s="1">
        <v>5</v>
      </c>
      <c r="E42" s="1" t="s">
        <v>205</v>
      </c>
      <c r="F42" s="1"/>
    </row>
    <row r="43" spans="1:6">
      <c r="A43" s="1">
        <v>1011</v>
      </c>
      <c r="B43" s="1">
        <v>5004</v>
      </c>
      <c r="C43" s="1" t="s">
        <v>202</v>
      </c>
      <c r="D43" s="1">
        <v>14</v>
      </c>
      <c r="E43" s="1" t="s">
        <v>201</v>
      </c>
      <c r="F43" s="1"/>
    </row>
    <row r="44" spans="1:6">
      <c r="A44" s="1">
        <v>1012</v>
      </c>
      <c r="B44" s="1">
        <v>5029</v>
      </c>
      <c r="C44" s="1" t="s">
        <v>202</v>
      </c>
      <c r="D44" s="1">
        <v>9</v>
      </c>
      <c r="E44" s="1" t="s">
        <v>205</v>
      </c>
      <c r="F44" s="1"/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zoomScale="75" zoomScaleNormal="75" topLeftCell="I10" workbookViewId="0">
      <selection activeCell="G24" sqref="G24"/>
    </sheetView>
  </sheetViews>
  <sheetFormatPr defaultColWidth="8.72727272727273" defaultRowHeight="14.5"/>
  <cols>
    <col min="1" max="1" width="8.09090909090909" customWidth="1"/>
    <col min="2" max="2" width="19.6363636363636" customWidth="1"/>
    <col min="3" max="3" width="17.8181818181818" customWidth="1"/>
    <col min="4" max="4" width="15.0909090909091" customWidth="1"/>
    <col min="5" max="5" width="18.7272727272727" customWidth="1"/>
    <col min="6" max="6" width="16.5454545454545" customWidth="1"/>
    <col min="7" max="7" width="20.5454545454545" customWidth="1"/>
    <col min="8" max="8" width="31" customWidth="1"/>
    <col min="9" max="9" width="18" customWidth="1"/>
    <col min="10" max="10" width="29.4545454545455" customWidth="1"/>
    <col min="11" max="11" width="20.6363636363636" customWidth="1"/>
    <col min="12" max="12" width="17.8181818181818" customWidth="1"/>
    <col min="13" max="13" width="22.1818181818182" customWidth="1"/>
    <col min="14" max="14" width="11.9090909090909" customWidth="1"/>
    <col min="15" max="15" width="10.2727272727273" customWidth="1"/>
    <col min="16" max="16" width="17.8181818181818" customWidth="1"/>
    <col min="17" max="17" width="27.4545454545455" customWidth="1"/>
  </cols>
  <sheetData>
    <row r="1" spans="1:17">
      <c r="A1" s="2" t="s">
        <v>124</v>
      </c>
      <c r="B1" s="2" t="s">
        <v>125</v>
      </c>
      <c r="C1" s="2" t="s">
        <v>126</v>
      </c>
      <c r="D1" s="2" t="s">
        <v>127</v>
      </c>
      <c r="E1" s="2" t="s">
        <v>207</v>
      </c>
      <c r="F1" s="2" t="s">
        <v>208</v>
      </c>
      <c r="G1" s="2" t="s">
        <v>176</v>
      </c>
      <c r="H1" s="2" t="s">
        <v>177</v>
      </c>
      <c r="I1" s="3" t="s">
        <v>209</v>
      </c>
      <c r="J1" s="3" t="s">
        <v>210</v>
      </c>
      <c r="K1" s="3" t="s">
        <v>211</v>
      </c>
      <c r="L1" s="3" t="s">
        <v>212</v>
      </c>
      <c r="M1" s="3" t="s">
        <v>190</v>
      </c>
      <c r="N1" s="3" t="s">
        <v>191</v>
      </c>
      <c r="O1" s="3" t="s">
        <v>192</v>
      </c>
      <c r="P1" s="3" t="s">
        <v>193</v>
      </c>
      <c r="Q1" s="3" t="s">
        <v>213</v>
      </c>
    </row>
    <row r="2" spans="1:17">
      <c r="A2" s="1">
        <v>1001</v>
      </c>
      <c r="B2" s="1" t="s">
        <v>128</v>
      </c>
      <c r="C2" s="1" t="s">
        <v>129</v>
      </c>
      <c r="D2" s="1" t="s">
        <v>130</v>
      </c>
      <c r="E2" s="1" t="s">
        <v>214</v>
      </c>
      <c r="F2" s="4">
        <v>43238.6900347222</v>
      </c>
      <c r="G2" s="1">
        <v>2315366229</v>
      </c>
      <c r="H2" s="1" t="s">
        <v>215</v>
      </c>
      <c r="I2" s="1" t="s">
        <v>216</v>
      </c>
      <c r="J2" s="1" t="s">
        <v>217</v>
      </c>
      <c r="K2" s="1">
        <v>83848.62</v>
      </c>
      <c r="L2" s="1" t="s">
        <v>218</v>
      </c>
      <c r="M2" s="1">
        <v>5028</v>
      </c>
      <c r="N2" s="1" t="s">
        <v>194</v>
      </c>
      <c r="O2" s="1">
        <v>9</v>
      </c>
      <c r="P2" s="1" t="s">
        <v>195</v>
      </c>
      <c r="Q2" s="1" t="s">
        <v>201</v>
      </c>
    </row>
    <row r="3" spans="1:17">
      <c r="A3" s="1">
        <v>1002</v>
      </c>
      <c r="B3" s="1" t="s">
        <v>131</v>
      </c>
      <c r="C3" s="1" t="s">
        <v>129</v>
      </c>
      <c r="D3" s="5">
        <v>37661</v>
      </c>
      <c r="E3" s="1" t="s">
        <v>219</v>
      </c>
      <c r="F3" s="4">
        <v>43245.9053356481</v>
      </c>
      <c r="G3" s="1">
        <v>807886826</v>
      </c>
      <c r="H3" s="1" t="s">
        <v>220</v>
      </c>
      <c r="I3" s="1" t="s">
        <v>221</v>
      </c>
      <c r="J3" s="1" t="s">
        <v>217</v>
      </c>
      <c r="K3" s="1">
        <v>65592.3</v>
      </c>
      <c r="L3" s="1" t="s">
        <v>218</v>
      </c>
      <c r="M3" s="1">
        <v>5011</v>
      </c>
      <c r="N3" s="1" t="s">
        <v>196</v>
      </c>
      <c r="O3" s="1">
        <v>12</v>
      </c>
      <c r="P3" s="1" t="s">
        <v>197</v>
      </c>
      <c r="Q3" s="1" t="s">
        <v>201</v>
      </c>
    </row>
    <row r="4" spans="1:17">
      <c r="A4" s="1">
        <v>1003</v>
      </c>
      <c r="B4" s="1" t="s">
        <v>132</v>
      </c>
      <c r="C4" s="1" t="s">
        <v>133</v>
      </c>
      <c r="D4" s="5">
        <v>33702</v>
      </c>
      <c r="E4" s="1" t="s">
        <v>222</v>
      </c>
      <c r="F4" s="4">
        <v>43280.5286921296</v>
      </c>
      <c r="G4" s="1">
        <v>5830455932</v>
      </c>
      <c r="H4" s="1" t="s">
        <v>223</v>
      </c>
      <c r="I4" s="1" t="s">
        <v>221</v>
      </c>
      <c r="J4" s="1" t="s">
        <v>217</v>
      </c>
      <c r="K4" s="1">
        <v>135277.08</v>
      </c>
      <c r="L4" s="1" t="s">
        <v>218</v>
      </c>
      <c r="M4" s="1">
        <v>5038</v>
      </c>
      <c r="N4" s="1" t="s">
        <v>198</v>
      </c>
      <c r="O4" s="1">
        <v>17</v>
      </c>
      <c r="P4" s="1" t="s">
        <v>199</v>
      </c>
      <c r="Q4" s="1" t="s">
        <v>201</v>
      </c>
    </row>
    <row r="5" spans="1:17">
      <c r="A5" s="1">
        <v>1004</v>
      </c>
      <c r="B5" s="1" t="s">
        <v>134</v>
      </c>
      <c r="C5" s="1" t="s">
        <v>133</v>
      </c>
      <c r="D5" s="1" t="s">
        <v>135</v>
      </c>
      <c r="E5" s="1" t="s">
        <v>224</v>
      </c>
      <c r="F5" s="4">
        <v>43288.2456481481</v>
      </c>
      <c r="G5" s="1">
        <v>6782478893</v>
      </c>
      <c r="H5" s="1" t="s">
        <v>225</v>
      </c>
      <c r="I5" s="1" t="s">
        <v>226</v>
      </c>
      <c r="J5" s="1" t="s">
        <v>217</v>
      </c>
      <c r="K5" s="1">
        <v>149938.47</v>
      </c>
      <c r="L5" s="1" t="s">
        <v>218</v>
      </c>
      <c r="M5" s="1">
        <v>5046</v>
      </c>
      <c r="N5" s="1" t="s">
        <v>196</v>
      </c>
      <c r="O5" s="1">
        <v>9</v>
      </c>
      <c r="P5" s="1" t="s">
        <v>200</v>
      </c>
      <c r="Q5" s="1" t="s">
        <v>201</v>
      </c>
    </row>
    <row r="6" spans="1:17">
      <c r="A6" s="1">
        <v>1005</v>
      </c>
      <c r="B6" s="1" t="s">
        <v>136</v>
      </c>
      <c r="C6" s="1" t="s">
        <v>133</v>
      </c>
      <c r="D6" s="5">
        <v>34336</v>
      </c>
      <c r="E6" s="1" t="s">
        <v>227</v>
      </c>
      <c r="F6" s="4">
        <v>43292.9588773148</v>
      </c>
      <c r="G6" s="1">
        <v>7228707342</v>
      </c>
      <c r="H6" s="1" t="s">
        <v>228</v>
      </c>
      <c r="I6" s="1" t="s">
        <v>216</v>
      </c>
      <c r="J6" s="1" t="s">
        <v>229</v>
      </c>
      <c r="K6" s="1">
        <v>76177.29</v>
      </c>
      <c r="L6" s="1" t="s">
        <v>230</v>
      </c>
      <c r="M6" s="1">
        <v>5042</v>
      </c>
      <c r="N6" s="1" t="s">
        <v>194</v>
      </c>
      <c r="O6" s="1">
        <v>18</v>
      </c>
      <c r="P6" s="1" t="s">
        <v>201</v>
      </c>
      <c r="Q6" s="1" t="s">
        <v>201</v>
      </c>
    </row>
    <row r="7" spans="1:17">
      <c r="A7" s="1">
        <v>1006</v>
      </c>
      <c r="B7" s="1" t="s">
        <v>137</v>
      </c>
      <c r="C7" s="1" t="s">
        <v>129</v>
      </c>
      <c r="D7" s="1" t="s">
        <v>138</v>
      </c>
      <c r="E7" s="1" t="s">
        <v>231</v>
      </c>
      <c r="F7" s="4">
        <v>43299.3779976852</v>
      </c>
      <c r="G7" s="1">
        <v>1154256848</v>
      </c>
      <c r="H7" s="1" t="s">
        <v>232</v>
      </c>
      <c r="I7" s="1" t="s">
        <v>226</v>
      </c>
      <c r="J7" s="1" t="s">
        <v>217</v>
      </c>
      <c r="K7" s="1">
        <v>87231.5</v>
      </c>
      <c r="L7" s="1" t="s">
        <v>230</v>
      </c>
      <c r="M7" s="1">
        <v>5039</v>
      </c>
      <c r="N7" s="1" t="s">
        <v>202</v>
      </c>
      <c r="O7" s="1">
        <v>10</v>
      </c>
      <c r="P7" s="1" t="s">
        <v>203</v>
      </c>
      <c r="Q7" s="1" t="s">
        <v>233</v>
      </c>
    </row>
    <row r="8" spans="1:17">
      <c r="A8" s="1">
        <v>1007</v>
      </c>
      <c r="B8" s="1" t="s">
        <v>139</v>
      </c>
      <c r="C8" s="1" t="s">
        <v>129</v>
      </c>
      <c r="D8" s="5">
        <v>34494</v>
      </c>
      <c r="E8" s="1" t="s">
        <v>234</v>
      </c>
      <c r="F8" s="4">
        <v>43323.1121759259</v>
      </c>
      <c r="G8" s="1">
        <v>5043986660</v>
      </c>
      <c r="H8" s="1" t="s">
        <v>235</v>
      </c>
      <c r="I8" s="1" t="s">
        <v>216</v>
      </c>
      <c r="J8" s="1" t="s">
        <v>217</v>
      </c>
      <c r="K8" s="1">
        <v>122227.36</v>
      </c>
      <c r="L8" s="1" t="s">
        <v>218</v>
      </c>
      <c r="M8" s="1">
        <v>5006</v>
      </c>
      <c r="N8" s="1" t="s">
        <v>202</v>
      </c>
      <c r="O8" s="1">
        <v>21</v>
      </c>
      <c r="P8" s="1" t="s">
        <v>201</v>
      </c>
      <c r="Q8" s="1" t="s">
        <v>201</v>
      </c>
    </row>
    <row r="9" spans="1:17">
      <c r="A9" s="1">
        <v>1008</v>
      </c>
      <c r="B9" s="1" t="s">
        <v>140</v>
      </c>
      <c r="C9" s="1" t="s">
        <v>129</v>
      </c>
      <c r="D9" s="5">
        <v>37253</v>
      </c>
      <c r="E9" s="1" t="s">
        <v>236</v>
      </c>
      <c r="F9" s="4">
        <v>43326.062025463</v>
      </c>
      <c r="G9" s="1">
        <v>7867038376</v>
      </c>
      <c r="H9" s="1" t="s">
        <v>237</v>
      </c>
      <c r="I9" s="1" t="s">
        <v>226</v>
      </c>
      <c r="J9" s="1" t="s">
        <v>217</v>
      </c>
      <c r="K9" s="1">
        <v>52548.53</v>
      </c>
      <c r="L9" s="1" t="s">
        <v>238</v>
      </c>
      <c r="M9" s="1">
        <v>5038</v>
      </c>
      <c r="N9" s="1" t="s">
        <v>204</v>
      </c>
      <c r="O9" s="1">
        <v>12</v>
      </c>
      <c r="P9" s="1" t="s">
        <v>205</v>
      </c>
      <c r="Q9" s="1" t="s">
        <v>233</v>
      </c>
    </row>
    <row r="10" spans="1:17">
      <c r="A10" s="1">
        <v>1009</v>
      </c>
      <c r="B10" s="1" t="s">
        <v>141</v>
      </c>
      <c r="C10" s="1" t="s">
        <v>133</v>
      </c>
      <c r="D10" s="1" t="s">
        <v>142</v>
      </c>
      <c r="E10" s="1" t="s">
        <v>239</v>
      </c>
      <c r="F10" s="4">
        <v>43348.7685532407</v>
      </c>
      <c r="G10" s="1">
        <v>6433876874</v>
      </c>
      <c r="H10" s="1" t="s">
        <v>240</v>
      </c>
      <c r="I10" s="1" t="s">
        <v>221</v>
      </c>
      <c r="J10" s="1" t="s">
        <v>229</v>
      </c>
      <c r="K10" s="1">
        <v>95363.59</v>
      </c>
      <c r="L10" s="1" t="s">
        <v>218</v>
      </c>
      <c r="M10" s="1">
        <v>5048</v>
      </c>
      <c r="N10" s="1" t="s">
        <v>202</v>
      </c>
      <c r="O10" s="1">
        <v>12</v>
      </c>
      <c r="P10" s="1" t="s">
        <v>206</v>
      </c>
      <c r="Q10" s="1" t="s">
        <v>233</v>
      </c>
    </row>
    <row r="11" spans="1:17">
      <c r="A11" s="1">
        <v>1010</v>
      </c>
      <c r="B11" s="1" t="s">
        <v>143</v>
      </c>
      <c r="C11" s="1" t="s">
        <v>129</v>
      </c>
      <c r="D11" s="5">
        <v>30535</v>
      </c>
      <c r="E11" s="1" t="s">
        <v>241</v>
      </c>
      <c r="F11" s="4">
        <v>43465.6445601852</v>
      </c>
      <c r="G11" s="1">
        <v>3403185699</v>
      </c>
      <c r="H11" s="1" t="s">
        <v>242</v>
      </c>
      <c r="I11" s="1" t="s">
        <v>216</v>
      </c>
      <c r="J11" s="1" t="s">
        <v>217</v>
      </c>
      <c r="K11" s="1">
        <v>88476.04</v>
      </c>
      <c r="L11" s="1" t="s">
        <v>243</v>
      </c>
      <c r="M11" s="1">
        <v>5044</v>
      </c>
      <c r="N11" s="1" t="s">
        <v>198</v>
      </c>
      <c r="O11" s="1">
        <v>5</v>
      </c>
      <c r="P11" s="1" t="s">
        <v>205</v>
      </c>
      <c r="Q11" s="1" t="s">
        <v>233</v>
      </c>
    </row>
    <row r="12" spans="1:17">
      <c r="A12" s="1">
        <v>1011</v>
      </c>
      <c r="B12" s="1" t="s">
        <v>144</v>
      </c>
      <c r="C12" s="1" t="s">
        <v>133</v>
      </c>
      <c r="D12" s="5">
        <v>37237</v>
      </c>
      <c r="E12" s="1" t="s">
        <v>244</v>
      </c>
      <c r="F12" s="4">
        <v>43504.0438657407</v>
      </c>
      <c r="G12" s="1">
        <v>1066055070</v>
      </c>
      <c r="H12" s="1" t="s">
        <v>245</v>
      </c>
      <c r="I12" s="1" t="s">
        <v>221</v>
      </c>
      <c r="J12" s="1" t="s">
        <v>217</v>
      </c>
      <c r="K12" s="1">
        <v>139423.85</v>
      </c>
      <c r="L12" s="1" t="s">
        <v>230</v>
      </c>
      <c r="M12" s="1">
        <v>5004</v>
      </c>
      <c r="N12" s="1" t="s">
        <v>202</v>
      </c>
      <c r="O12" s="1">
        <v>14</v>
      </c>
      <c r="P12" s="1" t="s">
        <v>201</v>
      </c>
      <c r="Q12" s="1" t="s">
        <v>201</v>
      </c>
    </row>
    <row r="13" spans="1:17">
      <c r="A13" s="1">
        <v>1012</v>
      </c>
      <c r="B13" s="1" t="s">
        <v>145</v>
      </c>
      <c r="C13" s="1" t="s">
        <v>129</v>
      </c>
      <c r="D13" s="5">
        <v>29017</v>
      </c>
      <c r="E13" s="1" t="s">
        <v>246</v>
      </c>
      <c r="F13" s="4">
        <v>43504.0438657407</v>
      </c>
      <c r="G13" s="1">
        <v>2202734249</v>
      </c>
      <c r="H13" s="1" t="s">
        <v>189</v>
      </c>
      <c r="I13" s="1" t="s">
        <v>221</v>
      </c>
      <c r="J13" s="1" t="s">
        <v>217</v>
      </c>
      <c r="K13" s="1">
        <v>80127.28</v>
      </c>
      <c r="L13" s="1" t="s">
        <v>218</v>
      </c>
      <c r="M13" s="1">
        <v>5029</v>
      </c>
      <c r="N13" s="1" t="s">
        <v>202</v>
      </c>
      <c r="O13" s="1">
        <v>9</v>
      </c>
      <c r="P13" s="1" t="s">
        <v>205</v>
      </c>
      <c r="Q13" s="1" t="s">
        <v>233</v>
      </c>
    </row>
    <row r="14" spans="1:17">
      <c r="A14" s="1">
        <v>1013</v>
      </c>
      <c r="B14" s="1" t="s">
        <v>147</v>
      </c>
      <c r="C14" s="1" t="s">
        <v>129</v>
      </c>
      <c r="D14" s="5">
        <v>27582</v>
      </c>
      <c r="E14" s="1" t="s">
        <v>247</v>
      </c>
      <c r="F14" s="4">
        <v>43540.0494097222</v>
      </c>
      <c r="G14" s="1">
        <v>631476569</v>
      </c>
      <c r="H14" s="1" t="s">
        <v>248</v>
      </c>
      <c r="I14" s="1" t="s">
        <v>221</v>
      </c>
      <c r="J14" s="1" t="s">
        <v>217</v>
      </c>
      <c r="K14" s="1">
        <v>109740.68</v>
      </c>
      <c r="L14" s="1" t="s">
        <v>218</v>
      </c>
      <c r="M14" s="1">
        <v>5046</v>
      </c>
      <c r="N14" s="1" t="s">
        <v>194</v>
      </c>
      <c r="O14" s="1">
        <v>4</v>
      </c>
      <c r="P14" s="1" t="s">
        <v>205</v>
      </c>
      <c r="Q14" s="1" t="s">
        <v>233</v>
      </c>
    </row>
    <row r="15" spans="1:17">
      <c r="A15" s="1">
        <v>1014</v>
      </c>
      <c r="B15" s="1" t="s">
        <v>148</v>
      </c>
      <c r="C15" s="1" t="s">
        <v>133</v>
      </c>
      <c r="D15" s="1" t="s">
        <v>149</v>
      </c>
      <c r="E15" s="1" t="s">
        <v>249</v>
      </c>
      <c r="F15" s="4">
        <v>43540.0494097222</v>
      </c>
      <c r="G15" s="1">
        <v>7770838942</v>
      </c>
      <c r="H15" s="1" t="s">
        <v>250</v>
      </c>
      <c r="I15" s="1" t="s">
        <v>216</v>
      </c>
      <c r="J15" s="1" t="s">
        <v>229</v>
      </c>
      <c r="K15" s="1">
        <v>58175</v>
      </c>
      <c r="L15" s="1" t="s">
        <v>230</v>
      </c>
      <c r="M15" s="1">
        <v>5029</v>
      </c>
      <c r="N15" s="1" t="s">
        <v>204</v>
      </c>
      <c r="O15" s="1">
        <v>4</v>
      </c>
      <c r="P15" s="1" t="s">
        <v>205</v>
      </c>
      <c r="Q15" s="1" t="s">
        <v>233</v>
      </c>
    </row>
    <row r="16" spans="1:17">
      <c r="A16" s="1">
        <v>1015</v>
      </c>
      <c r="B16" s="1" t="s">
        <v>150</v>
      </c>
      <c r="C16" s="1" t="s">
        <v>129</v>
      </c>
      <c r="D16" s="5">
        <v>32366</v>
      </c>
      <c r="E16" s="1" t="s">
        <v>251</v>
      </c>
      <c r="F16" s="4">
        <v>43546.5578935185</v>
      </c>
      <c r="G16" s="1">
        <v>6141908454</v>
      </c>
      <c r="H16" s="1" t="s">
        <v>252</v>
      </c>
      <c r="I16" s="1" t="s">
        <v>226</v>
      </c>
      <c r="J16" s="1" t="s">
        <v>229</v>
      </c>
      <c r="K16" s="1">
        <v>37979.62</v>
      </c>
      <c r="L16" s="1" t="s">
        <v>218</v>
      </c>
      <c r="M16" s="1">
        <v>5010</v>
      </c>
      <c r="N16" s="1" t="s">
        <v>196</v>
      </c>
      <c r="O16" s="1">
        <v>9</v>
      </c>
      <c r="P16" s="1" t="s">
        <v>201</v>
      </c>
      <c r="Q16" s="1" t="s">
        <v>201</v>
      </c>
    </row>
    <row r="17" spans="1:17">
      <c r="A17" s="1">
        <v>1016</v>
      </c>
      <c r="B17" s="1" t="s">
        <v>151</v>
      </c>
      <c r="C17" s="1" t="s">
        <v>129</v>
      </c>
      <c r="D17" s="5">
        <v>32445</v>
      </c>
      <c r="E17" s="1" t="s">
        <v>253</v>
      </c>
      <c r="F17" s="4">
        <v>43546.5578935185</v>
      </c>
      <c r="G17" s="1">
        <v>7626001014</v>
      </c>
      <c r="H17" s="1" t="s">
        <v>254</v>
      </c>
      <c r="I17" s="1" t="s">
        <v>226</v>
      </c>
      <c r="J17" s="1" t="s">
        <v>229</v>
      </c>
      <c r="K17" s="1">
        <v>74692.7</v>
      </c>
      <c r="L17" s="1" t="s">
        <v>238</v>
      </c>
      <c r="M17" s="1">
        <v>5035</v>
      </c>
      <c r="N17" s="1" t="s">
        <v>202</v>
      </c>
      <c r="O17" s="1">
        <v>19</v>
      </c>
      <c r="P17" s="1" t="s">
        <v>255</v>
      </c>
      <c r="Q17" s="1" t="s">
        <v>201</v>
      </c>
    </row>
    <row r="18" spans="1:17">
      <c r="A18" s="1">
        <v>1017</v>
      </c>
      <c r="B18" s="1" t="s">
        <v>152</v>
      </c>
      <c r="C18" s="1" t="s">
        <v>133</v>
      </c>
      <c r="D18" s="1" t="s">
        <v>153</v>
      </c>
      <c r="E18" s="1" t="s">
        <v>256</v>
      </c>
      <c r="F18" s="4">
        <v>43553.1028240741</v>
      </c>
      <c r="G18" s="1">
        <v>9182980401</v>
      </c>
      <c r="H18" s="1" t="s">
        <v>257</v>
      </c>
      <c r="I18" s="1" t="s">
        <v>221</v>
      </c>
      <c r="J18" s="1" t="s">
        <v>229</v>
      </c>
      <c r="K18" s="1">
        <v>58336.35</v>
      </c>
      <c r="L18" s="1" t="s">
        <v>243</v>
      </c>
      <c r="M18" s="1">
        <v>5017</v>
      </c>
      <c r="N18" s="1" t="s">
        <v>196</v>
      </c>
      <c r="O18" s="1">
        <v>16</v>
      </c>
      <c r="P18" s="1" t="s">
        <v>203</v>
      </c>
      <c r="Q18" s="1" t="s">
        <v>233</v>
      </c>
    </row>
    <row r="19" spans="1:17">
      <c r="A19" s="1">
        <v>1018</v>
      </c>
      <c r="B19" s="1" t="s">
        <v>154</v>
      </c>
      <c r="C19" s="1" t="s">
        <v>133</v>
      </c>
      <c r="D19" s="1" t="s">
        <v>155</v>
      </c>
      <c r="E19" s="1" t="s">
        <v>258</v>
      </c>
      <c r="F19" s="4">
        <v>43553.1028240741</v>
      </c>
      <c r="G19" s="1">
        <v>6159074034</v>
      </c>
      <c r="H19" s="1" t="s">
        <v>259</v>
      </c>
      <c r="I19" s="1" t="s">
        <v>216</v>
      </c>
      <c r="J19" s="1" t="s">
        <v>229</v>
      </c>
      <c r="K19" s="1">
        <v>65626.01</v>
      </c>
      <c r="L19" s="1" t="s">
        <v>218</v>
      </c>
      <c r="M19" s="1">
        <v>5029</v>
      </c>
      <c r="N19" s="1" t="s">
        <v>198</v>
      </c>
      <c r="O19" s="1">
        <v>4</v>
      </c>
      <c r="P19" s="1" t="s">
        <v>201</v>
      </c>
      <c r="Q19" s="1" t="s">
        <v>201</v>
      </c>
    </row>
    <row r="20" spans="1:17">
      <c r="A20" s="1">
        <v>1019</v>
      </c>
      <c r="B20" s="1" t="s">
        <v>156</v>
      </c>
      <c r="C20" s="1" t="s">
        <v>133</v>
      </c>
      <c r="D20" s="5">
        <v>29883</v>
      </c>
      <c r="E20" s="1" t="s">
        <v>260</v>
      </c>
      <c r="F20" s="4">
        <v>43587.7382060185</v>
      </c>
      <c r="G20" s="1">
        <v>2035581905</v>
      </c>
      <c r="H20" s="1" t="s">
        <v>261</v>
      </c>
      <c r="I20" s="1" t="s">
        <v>226</v>
      </c>
      <c r="J20" s="1" t="s">
        <v>217</v>
      </c>
      <c r="K20" s="1">
        <v>86659.34</v>
      </c>
      <c r="L20" s="1" t="s">
        <v>218</v>
      </c>
      <c r="M20" s="1">
        <v>5049</v>
      </c>
      <c r="N20" s="1" t="s">
        <v>194</v>
      </c>
      <c r="O20" s="1">
        <v>8</v>
      </c>
      <c r="P20" s="1" t="s">
        <v>255</v>
      </c>
      <c r="Q20" s="1" t="s">
        <v>201</v>
      </c>
    </row>
    <row r="21" spans="1:17">
      <c r="A21" s="1">
        <v>1020</v>
      </c>
      <c r="B21" s="1" t="s">
        <v>262</v>
      </c>
      <c r="C21" s="1" t="s">
        <v>133</v>
      </c>
      <c r="D21" s="5">
        <v>30440</v>
      </c>
      <c r="E21" s="1" t="s">
        <v>263</v>
      </c>
      <c r="F21" s="4">
        <v>43587.7382060185</v>
      </c>
      <c r="G21" s="1">
        <v>8972603022</v>
      </c>
      <c r="H21" s="1" t="s">
        <v>264</v>
      </c>
      <c r="I21" s="1" t="s">
        <v>216</v>
      </c>
      <c r="J21" s="1" t="s">
        <v>217</v>
      </c>
      <c r="K21" s="1">
        <v>46423.31</v>
      </c>
      <c r="L21" s="1" t="s">
        <v>218</v>
      </c>
      <c r="M21" s="1">
        <v>5043</v>
      </c>
      <c r="N21" s="1" t="s">
        <v>198</v>
      </c>
      <c r="O21" s="1">
        <v>11</v>
      </c>
      <c r="P21" s="1" t="s">
        <v>255</v>
      </c>
      <c r="Q21" s="1" t="s">
        <v>201</v>
      </c>
    </row>
    <row r="22" spans="1:17">
      <c r="A22" s="1">
        <v>1021</v>
      </c>
      <c r="B22" s="1" t="s">
        <v>158</v>
      </c>
      <c r="C22" s="1" t="s">
        <v>129</v>
      </c>
      <c r="D22" s="1" t="s">
        <v>159</v>
      </c>
      <c r="E22" s="1" t="s">
        <v>265</v>
      </c>
      <c r="F22" s="4">
        <v>43588.0078703704</v>
      </c>
      <c r="G22" s="1">
        <v>4554666927</v>
      </c>
      <c r="H22" s="1" t="s">
        <v>266</v>
      </c>
      <c r="I22" s="1" t="s">
        <v>221</v>
      </c>
      <c r="J22" s="1" t="s">
        <v>217</v>
      </c>
      <c r="K22" s="1">
        <v>105284.62</v>
      </c>
      <c r="L22" s="1" t="s">
        <v>243</v>
      </c>
      <c r="M22" s="1">
        <v>5024</v>
      </c>
      <c r="N22" s="1" t="s">
        <v>194</v>
      </c>
      <c r="O22" s="1">
        <v>12</v>
      </c>
      <c r="P22" s="1" t="s">
        <v>205</v>
      </c>
      <c r="Q22" s="1" t="s">
        <v>233</v>
      </c>
    </row>
    <row r="23" spans="1:17">
      <c r="A23" s="1">
        <v>1022</v>
      </c>
      <c r="B23" s="1" t="s">
        <v>160</v>
      </c>
      <c r="C23" s="1" t="s">
        <v>133</v>
      </c>
      <c r="D23" s="5">
        <v>28557</v>
      </c>
      <c r="E23" s="1" t="s">
        <v>267</v>
      </c>
      <c r="F23" s="4">
        <v>43588.0078703704</v>
      </c>
      <c r="G23" s="1">
        <v>8324142553</v>
      </c>
      <c r="H23" s="1" t="s">
        <v>268</v>
      </c>
      <c r="I23" s="1" t="s">
        <v>226</v>
      </c>
      <c r="J23" s="1" t="s">
        <v>229</v>
      </c>
      <c r="K23" s="1">
        <v>119607.18</v>
      </c>
      <c r="L23" s="1" t="s">
        <v>243</v>
      </c>
      <c r="M23" s="1">
        <v>5050</v>
      </c>
      <c r="N23" s="1" t="s">
        <v>204</v>
      </c>
      <c r="O23" s="1">
        <v>18</v>
      </c>
      <c r="P23" s="1" t="s">
        <v>255</v>
      </c>
      <c r="Q23" s="1" t="s">
        <v>201</v>
      </c>
    </row>
    <row r="24" spans="1:17">
      <c r="A24" s="1">
        <v>1023</v>
      </c>
      <c r="B24" s="1" t="s">
        <v>161</v>
      </c>
      <c r="C24" s="1" t="s">
        <v>133</v>
      </c>
      <c r="D24" s="5">
        <v>27717</v>
      </c>
      <c r="E24" s="1" t="s">
        <v>269</v>
      </c>
      <c r="F24" s="4">
        <v>43595.7052546296</v>
      </c>
      <c r="G24" s="1">
        <v>1071585188</v>
      </c>
      <c r="H24" s="1" t="s">
        <v>270</v>
      </c>
      <c r="I24" s="1" t="s">
        <v>216</v>
      </c>
      <c r="J24" s="1" t="s">
        <v>217</v>
      </c>
      <c r="K24" s="1">
        <v>109154.41</v>
      </c>
      <c r="L24" s="1" t="s">
        <v>230</v>
      </c>
      <c r="M24" s="1">
        <v>5006</v>
      </c>
      <c r="N24" s="1" t="s">
        <v>196</v>
      </c>
      <c r="O24" s="1">
        <v>7</v>
      </c>
      <c r="P24" s="1" t="s">
        <v>255</v>
      </c>
      <c r="Q24" s="1" t="s">
        <v>201</v>
      </c>
    </row>
    <row r="25" spans="1:17">
      <c r="A25" s="1">
        <v>1024</v>
      </c>
      <c r="B25" s="1" t="s">
        <v>162</v>
      </c>
      <c r="C25" s="1" t="s">
        <v>129</v>
      </c>
      <c r="D25" s="5">
        <v>36503</v>
      </c>
      <c r="E25" s="1" t="s">
        <v>271</v>
      </c>
      <c r="F25" s="4">
        <v>43595.7052546296</v>
      </c>
      <c r="G25" s="1">
        <v>5491666826</v>
      </c>
      <c r="H25" s="1" t="s">
        <v>272</v>
      </c>
      <c r="I25" s="1" t="s">
        <v>226</v>
      </c>
      <c r="J25" s="1" t="s">
        <v>229</v>
      </c>
      <c r="K25" s="1">
        <v>119381.54</v>
      </c>
      <c r="L25" s="1" t="s">
        <v>230</v>
      </c>
      <c r="M25" s="1">
        <v>5049</v>
      </c>
      <c r="N25" s="1" t="s">
        <v>204</v>
      </c>
      <c r="O25" s="1">
        <v>12</v>
      </c>
      <c r="P25" s="1" t="s">
        <v>205</v>
      </c>
      <c r="Q25" s="1" t="s">
        <v>233</v>
      </c>
    </row>
    <row r="26" spans="1:17">
      <c r="A26" s="1">
        <v>1025</v>
      </c>
      <c r="B26" s="1" t="s">
        <v>163</v>
      </c>
      <c r="C26" s="1" t="s">
        <v>133</v>
      </c>
      <c r="D26" s="5">
        <v>26916</v>
      </c>
      <c r="E26" s="1" t="s">
        <v>273</v>
      </c>
      <c r="F26" s="4">
        <v>43636.1829976852</v>
      </c>
      <c r="G26" s="1">
        <v>2138742087</v>
      </c>
      <c r="H26" s="1" t="s">
        <v>274</v>
      </c>
      <c r="I26" s="1" t="s">
        <v>216</v>
      </c>
      <c r="J26" s="1" t="s">
        <v>229</v>
      </c>
      <c r="K26" s="1">
        <v>32627.19</v>
      </c>
      <c r="L26" s="1" t="s">
        <v>243</v>
      </c>
      <c r="M26" s="1">
        <v>5039</v>
      </c>
      <c r="N26" s="1" t="s">
        <v>202</v>
      </c>
      <c r="O26" s="1">
        <v>13</v>
      </c>
      <c r="P26" s="1" t="s">
        <v>201</v>
      </c>
      <c r="Q26" s="1" t="s">
        <v>201</v>
      </c>
    </row>
    <row r="27" spans="1:17">
      <c r="A27" s="1">
        <v>1026</v>
      </c>
      <c r="B27" s="1" t="s">
        <v>165</v>
      </c>
      <c r="C27" s="1" t="s">
        <v>129</v>
      </c>
      <c r="D27" s="5">
        <v>36312</v>
      </c>
      <c r="E27" s="1" t="s">
        <v>275</v>
      </c>
      <c r="F27" s="4">
        <v>43638.1519675926</v>
      </c>
      <c r="G27" s="1">
        <v>9277483782</v>
      </c>
      <c r="H27" s="1" t="s">
        <v>276</v>
      </c>
      <c r="I27" s="1" t="s">
        <v>221</v>
      </c>
      <c r="J27" s="1" t="s">
        <v>217</v>
      </c>
      <c r="K27" s="1">
        <v>79000.8</v>
      </c>
      <c r="L27" s="1" t="s">
        <v>230</v>
      </c>
      <c r="M27" s="1">
        <v>5049</v>
      </c>
      <c r="N27" s="1" t="s">
        <v>202</v>
      </c>
      <c r="O27" s="1">
        <v>13</v>
      </c>
      <c r="P27" s="1" t="s">
        <v>203</v>
      </c>
      <c r="Q27" s="1" t="s">
        <v>233</v>
      </c>
    </row>
    <row r="28" spans="1:17">
      <c r="A28" s="1">
        <v>1027</v>
      </c>
      <c r="B28" s="1" t="s">
        <v>166</v>
      </c>
      <c r="C28" s="1" t="s">
        <v>133</v>
      </c>
      <c r="D28" s="5">
        <v>33209</v>
      </c>
      <c r="E28" s="1" t="s">
        <v>277</v>
      </c>
      <c r="F28" s="4">
        <v>43649.9498148148</v>
      </c>
      <c r="G28" s="1">
        <v>6509482537</v>
      </c>
      <c r="H28" s="1" t="s">
        <v>278</v>
      </c>
      <c r="I28" s="1" t="s">
        <v>216</v>
      </c>
      <c r="J28" s="1" t="s">
        <v>217</v>
      </c>
      <c r="K28" s="1">
        <v>121322.47</v>
      </c>
      <c r="L28" s="1" t="s">
        <v>230</v>
      </c>
      <c r="M28" s="1">
        <v>5001</v>
      </c>
      <c r="N28" s="1" t="s">
        <v>204</v>
      </c>
      <c r="O28" s="1">
        <v>12</v>
      </c>
      <c r="P28" s="1" t="s">
        <v>201</v>
      </c>
      <c r="Q28" s="1" t="s">
        <v>201</v>
      </c>
    </row>
    <row r="29" spans="1:17">
      <c r="A29" s="1">
        <v>1028</v>
      </c>
      <c r="B29" s="1" t="s">
        <v>167</v>
      </c>
      <c r="C29" s="1" t="s">
        <v>133</v>
      </c>
      <c r="D29" s="5">
        <v>30562</v>
      </c>
      <c r="E29" s="1" t="s">
        <v>279</v>
      </c>
      <c r="F29" s="4">
        <v>43652.9415625</v>
      </c>
      <c r="G29" s="1">
        <v>1336383965</v>
      </c>
      <c r="H29" s="1" t="s">
        <v>280</v>
      </c>
      <c r="I29" s="1" t="s">
        <v>226</v>
      </c>
      <c r="J29" s="1" t="s">
        <v>217</v>
      </c>
      <c r="K29" s="1">
        <v>110508.14</v>
      </c>
      <c r="L29" s="1" t="s">
        <v>238</v>
      </c>
      <c r="M29" s="1">
        <v>5012</v>
      </c>
      <c r="N29" s="1" t="s">
        <v>198</v>
      </c>
      <c r="O29" s="1">
        <v>11</v>
      </c>
      <c r="P29" s="1" t="s">
        <v>206</v>
      </c>
      <c r="Q29" s="1" t="s">
        <v>233</v>
      </c>
    </row>
    <row r="30" spans="1:17">
      <c r="A30" s="1">
        <v>1029</v>
      </c>
      <c r="B30" s="1" t="s">
        <v>168</v>
      </c>
      <c r="C30" s="1" t="s">
        <v>133</v>
      </c>
      <c r="D30" s="5">
        <v>32579</v>
      </c>
      <c r="E30" s="1" t="s">
        <v>281</v>
      </c>
      <c r="F30" s="4">
        <v>43702.2830208333</v>
      </c>
      <c r="G30" s="1">
        <v>2147417355</v>
      </c>
      <c r="H30" s="1" t="s">
        <v>282</v>
      </c>
      <c r="I30" s="1" t="s">
        <v>216</v>
      </c>
      <c r="J30" s="1" t="s">
        <v>229</v>
      </c>
      <c r="K30" s="1">
        <v>55332.05</v>
      </c>
      <c r="L30" s="1" t="s">
        <v>218</v>
      </c>
      <c r="M30" s="1">
        <v>5048</v>
      </c>
      <c r="N30" s="1" t="s">
        <v>196</v>
      </c>
      <c r="O30" s="1">
        <v>19</v>
      </c>
      <c r="P30" s="1" t="s">
        <v>201</v>
      </c>
      <c r="Q30" s="1" t="s">
        <v>201</v>
      </c>
    </row>
    <row r="31" spans="1:17">
      <c r="A31" s="1">
        <v>1030</v>
      </c>
      <c r="B31" s="1" t="s">
        <v>169</v>
      </c>
      <c r="C31" s="1" t="s">
        <v>129</v>
      </c>
      <c r="D31" s="1" t="s">
        <v>170</v>
      </c>
      <c r="E31" s="1" t="s">
        <v>283</v>
      </c>
      <c r="F31" s="4">
        <v>43714.9755671296</v>
      </c>
      <c r="G31" s="1">
        <v>7308135189</v>
      </c>
      <c r="H31" s="1" t="s">
        <v>284</v>
      </c>
      <c r="I31" s="1" t="s">
        <v>226</v>
      </c>
      <c r="J31" s="1" t="s">
        <v>217</v>
      </c>
      <c r="K31" s="1">
        <v>65626.01</v>
      </c>
      <c r="L31" s="1" t="s">
        <v>218</v>
      </c>
      <c r="M31" s="1">
        <v>5029</v>
      </c>
      <c r="N31" s="1" t="s">
        <v>198</v>
      </c>
      <c r="O31" s="1">
        <v>4</v>
      </c>
      <c r="P31" s="1" t="s">
        <v>201</v>
      </c>
      <c r="Q31" s="1" t="s">
        <v>201</v>
      </c>
    </row>
    <row r="32" spans="1:17">
      <c r="A32" s="1">
        <v>1031</v>
      </c>
      <c r="B32" s="1" t="s">
        <v>171</v>
      </c>
      <c r="C32" s="1" t="s">
        <v>129</v>
      </c>
      <c r="D32" s="5">
        <v>28784</v>
      </c>
      <c r="E32" s="1" t="s">
        <v>285</v>
      </c>
      <c r="F32" s="4">
        <v>43756.4270138889</v>
      </c>
      <c r="G32" s="1">
        <v>591725049</v>
      </c>
      <c r="H32" s="1" t="s">
        <v>286</v>
      </c>
      <c r="I32" s="1" t="s">
        <v>226</v>
      </c>
      <c r="J32" s="1" t="s">
        <v>229</v>
      </c>
      <c r="K32" s="1">
        <v>86659.34</v>
      </c>
      <c r="L32" s="1" t="s">
        <v>218</v>
      </c>
      <c r="M32" s="1">
        <v>5049</v>
      </c>
      <c r="N32" s="1" t="s">
        <v>194</v>
      </c>
      <c r="O32" s="1">
        <v>8</v>
      </c>
      <c r="P32" s="1" t="s">
        <v>255</v>
      </c>
      <c r="Q32" s="1" t="s">
        <v>201</v>
      </c>
    </row>
    <row r="33" spans="1:17">
      <c r="A33" s="1">
        <v>1032</v>
      </c>
      <c r="B33" s="1" t="s">
        <v>172</v>
      </c>
      <c r="C33" s="1" t="s">
        <v>129</v>
      </c>
      <c r="D33" s="5">
        <v>32126</v>
      </c>
      <c r="E33" s="1" t="s">
        <v>287</v>
      </c>
      <c r="F33" s="4">
        <v>43765.7769791667</v>
      </c>
      <c r="G33" s="1">
        <v>6547096147</v>
      </c>
      <c r="H33" s="1" t="s">
        <v>288</v>
      </c>
      <c r="I33" s="1" t="s">
        <v>216</v>
      </c>
      <c r="J33" s="1" t="s">
        <v>217</v>
      </c>
      <c r="K33" s="1">
        <v>46423.31</v>
      </c>
      <c r="L33" s="1" t="s">
        <v>218</v>
      </c>
      <c r="M33" s="1">
        <v>5043</v>
      </c>
      <c r="N33" s="1" t="s">
        <v>198</v>
      </c>
      <c r="O33" s="1">
        <v>11</v>
      </c>
      <c r="P33" s="1" t="s">
        <v>255</v>
      </c>
      <c r="Q33" s="1" t="s">
        <v>201</v>
      </c>
    </row>
    <row r="34" spans="1:17">
      <c r="A34" s="1">
        <v>1033</v>
      </c>
      <c r="B34" s="1" t="s">
        <v>173</v>
      </c>
      <c r="C34" s="1" t="s">
        <v>133</v>
      </c>
      <c r="D34" s="5">
        <v>30997</v>
      </c>
      <c r="E34" s="1" t="s">
        <v>289</v>
      </c>
      <c r="F34" s="4">
        <v>43774.8587384259</v>
      </c>
      <c r="G34" s="1">
        <v>59988526</v>
      </c>
      <c r="H34" s="1" t="s">
        <v>290</v>
      </c>
      <c r="I34" s="1" t="s">
        <v>226</v>
      </c>
      <c r="J34" s="1" t="s">
        <v>217</v>
      </c>
      <c r="K34" s="1">
        <v>105284.62</v>
      </c>
      <c r="L34" s="1" t="s">
        <v>243</v>
      </c>
      <c r="M34" s="1">
        <v>5024</v>
      </c>
      <c r="N34" s="1" t="s">
        <v>194</v>
      </c>
      <c r="O34" s="1">
        <v>12</v>
      </c>
      <c r="P34" s="1" t="s">
        <v>205</v>
      </c>
      <c r="Q34" s="1" t="s">
        <v>233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I1" sqref="I1"/>
    </sheetView>
  </sheetViews>
  <sheetFormatPr defaultColWidth="8.72727272727273" defaultRowHeight="14.5" outlineLevelCol="7"/>
  <cols>
    <col min="1" max="1" width="8.09090909090909" style="1" customWidth="1"/>
    <col min="2" max="2" width="19.6363636363636" style="1" customWidth="1"/>
    <col min="3" max="3" width="17.8181818181818" style="1" customWidth="1"/>
    <col min="4" max="4" width="15.0909090909091" style="1" customWidth="1"/>
    <col min="5" max="5" width="18.7272727272727" style="1" customWidth="1"/>
    <col min="6" max="6" width="14.5454545454545" style="1" customWidth="1"/>
    <col min="7" max="7" width="20.5454545454545" style="1" customWidth="1"/>
    <col min="8" max="8" width="31" style="1" customWidth="1"/>
    <col min="9" max="16384" width="8.72727272727273" style="1"/>
  </cols>
  <sheetData>
    <row r="1" spans="1:8">
      <c r="A1" s="1" t="str" cm="1">
        <f t="array" ref="A1:H20">_xlfn.TAKE(Data!A1:Q34,20,8)</f>
        <v>Emp_ID</v>
      </c>
      <c r="B1" s="1" t="str">
        <v>Employee_name</v>
      </c>
      <c r="C1" s="1" t="str">
        <v>Employee_Gender</v>
      </c>
      <c r="D1" s="1" t="str">
        <v>Employee_DOB</v>
      </c>
      <c r="E1" s="1" t="str">
        <v>Employee_address</v>
      </c>
      <c r="F1" s="1" t="str">
        <v>Employee_DOJ</v>
      </c>
      <c r="G1" s="1" t="str">
        <v>Emp_Mobile Number</v>
      </c>
      <c r="H1" s="1" t="str">
        <v>Employee_Email_ID</v>
      </c>
    </row>
    <row r="2" spans="1:8">
      <c r="A2" s="1">
        <v>1001</v>
      </c>
      <c r="B2" s="1" t="str">
        <v>Amy Peterson</v>
      </c>
      <c r="C2" s="1" t="str">
        <v>Male</v>
      </c>
      <c r="D2" s="1" t="str">
        <v>8/19/2004</v>
      </c>
      <c r="E2" s="1" t="str">
        <v>adow Suite 111 Nor</v>
      </c>
      <c r="F2" s="1">
        <v>43238.6900347222</v>
      </c>
      <c r="G2" s="1">
        <v>2315366229</v>
      </c>
      <c r="H2" s="1" t="str">
        <v>ricerandall@example.net</v>
      </c>
    </row>
    <row r="3" spans="1:8">
      <c r="A3" s="1">
        <v>1002</v>
      </c>
      <c r="B3" s="1" t="str">
        <v>Karen Shepherd</v>
      </c>
      <c r="C3" s="1" t="str">
        <v>Male</v>
      </c>
      <c r="D3" s="1">
        <v>37661</v>
      </c>
      <c r="E3" s="1" t="str">
        <v>59 Box 8468 DPO A</v>
      </c>
      <c r="F3" s="1">
        <v>43245.9053356481</v>
      </c>
      <c r="G3" s="1">
        <v>807886826</v>
      </c>
      <c r="H3" s="1" t="str">
        <v>timothynovak@example.net</v>
      </c>
    </row>
    <row r="4" spans="1:8">
      <c r="A4" s="1">
        <v>1003</v>
      </c>
      <c r="B4" s="1" t="str">
        <v>Christopher Mendez</v>
      </c>
      <c r="C4" s="1" t="str">
        <v>Female</v>
      </c>
      <c r="D4" s="1">
        <v>33702</v>
      </c>
      <c r="E4" s="1" t="str">
        <v>59 Box 993 East D</v>
      </c>
      <c r="F4" s="1">
        <v>43280.5286921296</v>
      </c>
      <c r="G4" s="1">
        <v>5830455932</v>
      </c>
      <c r="H4" s="1" t="str">
        <v>brittany96@example.net</v>
      </c>
    </row>
    <row r="5" spans="1:8">
      <c r="A5" s="1">
        <v>1004</v>
      </c>
      <c r="B5" s="1" t="str">
        <v>Clayton Torres</v>
      </c>
      <c r="C5" s="1" t="str">
        <v>Female</v>
      </c>
      <c r="D5" s="1" t="str">
        <v>9/28/1999</v>
      </c>
      <c r="E5" s="1" t="str">
        <v>e Suite 825 Kevinb</v>
      </c>
      <c r="F5" s="1">
        <v>43288.2456481481</v>
      </c>
      <c r="G5" s="1">
        <v>6782478893</v>
      </c>
      <c r="H5" s="1" t="str">
        <v>bradfordrenee@example.net</v>
      </c>
    </row>
    <row r="6" spans="1:8">
      <c r="A6" s="1">
        <v>1005</v>
      </c>
      <c r="B6" s="1" t="str">
        <v>Nicholas Jenkins</v>
      </c>
      <c r="C6" s="1" t="str">
        <v>Female</v>
      </c>
      <c r="D6" s="1">
        <v>34336</v>
      </c>
      <c r="E6" s="1" t="str">
        <v>ird Plaza Markstad</v>
      </c>
      <c r="F6" s="1">
        <v>43292.9588773148</v>
      </c>
      <c r="G6" s="1">
        <v>7228707342</v>
      </c>
      <c r="H6" s="1" t="str">
        <v>lopezjacqueline@example.net</v>
      </c>
    </row>
    <row r="7" spans="1:8">
      <c r="A7" s="1">
        <v>1006</v>
      </c>
      <c r="B7" s="1" t="str">
        <v>Miss Tammy Smith</v>
      </c>
      <c r="C7" s="1" t="str">
        <v>Male</v>
      </c>
      <c r="D7" s="1" t="str">
        <v>1/18/1978</v>
      </c>
      <c r="E7" s="1" t="str">
        <v>Orchard Anthonys</v>
      </c>
      <c r="F7" s="1">
        <v>43299.3779976852</v>
      </c>
      <c r="G7" s="1">
        <v>1154256848</v>
      </c>
      <c r="H7" s="1" t="str">
        <v>andrewthomas@example.com</v>
      </c>
    </row>
    <row r="8" spans="1:8">
      <c r="A8" s="1">
        <v>1007</v>
      </c>
      <c r="B8" s="1" t="str">
        <v>Andres Simpson</v>
      </c>
      <c r="C8" s="1" t="str">
        <v>Male</v>
      </c>
      <c r="D8" s="1">
        <v>34494</v>
      </c>
      <c r="E8" s="1" t="str">
        <v>re Apt 788 Bowma</v>
      </c>
      <c r="F8" s="1">
        <v>43323.1121759259</v>
      </c>
      <c r="G8" s="1">
        <v>5043986660</v>
      </c>
      <c r="H8" s="1" t="str">
        <v>lunakaren@example.net</v>
      </c>
    </row>
    <row r="9" spans="1:8">
      <c r="A9" s="1">
        <v>1008</v>
      </c>
      <c r="B9" s="1" t="str">
        <v>Barbara Brown</v>
      </c>
      <c r="C9" s="1" t="str">
        <v>Male</v>
      </c>
      <c r="D9" s="1">
        <v>37253</v>
      </c>
      <c r="E9" s="1" t="str">
        <v>Bridge South Davidi</v>
      </c>
      <c r="F9" s="1">
        <v>43326.062025463</v>
      </c>
      <c r="G9" s="1">
        <v>7867038376</v>
      </c>
      <c r="H9" s="1" t="str">
        <v>dlflynn@example.org</v>
      </c>
    </row>
    <row r="10" spans="1:8">
      <c r="A10" s="1">
        <v>1009</v>
      </c>
      <c r="B10" s="1" t="str">
        <v>Julie Mcdaniel</v>
      </c>
      <c r="C10" s="1" t="str">
        <v>Female</v>
      </c>
      <c r="D10" s="1" t="str">
        <v>1/30/1992</v>
      </c>
      <c r="E10" s="1" t="str">
        <v>Drive Lake Kayport</v>
      </c>
      <c r="F10" s="1">
        <v>43348.7685532407</v>
      </c>
      <c r="G10" s="1">
        <v>6433876874</v>
      </c>
      <c r="H10" s="1" t="str">
        <v>wilsonchristopher@example.org</v>
      </c>
    </row>
    <row r="11" spans="1:8">
      <c r="A11" s="1">
        <v>1010</v>
      </c>
      <c r="B11" s="1" t="str">
        <v>Christopher Gross</v>
      </c>
      <c r="C11" s="1" t="str">
        <v>Male</v>
      </c>
      <c r="D11" s="1">
        <v>30535</v>
      </c>
      <c r="E11" s="1" t="str">
        <v>3 Box 1167 APO A</v>
      </c>
      <c r="F11" s="1">
        <v>43465.6445601852</v>
      </c>
      <c r="G11" s="1">
        <v>3403185699</v>
      </c>
      <c r="H11" s="1" t="str">
        <v>paul72@example.org</v>
      </c>
    </row>
    <row r="12" spans="1:8">
      <c r="A12" s="1">
        <v>1011</v>
      </c>
      <c r="B12" s="1" t="str">
        <v>James Smith</v>
      </c>
      <c r="C12" s="1" t="str">
        <v>Female</v>
      </c>
      <c r="D12" s="1">
        <v>37237</v>
      </c>
      <c r="E12" s="1" t="str">
        <v>res Suite 757 Nicho</v>
      </c>
      <c r="F12" s="1">
        <v>43504.0438657407</v>
      </c>
      <c r="G12" s="1">
        <v>1066055070</v>
      </c>
      <c r="H12" s="1" t="str">
        <v>nortonbrian@example.net</v>
      </c>
    </row>
    <row r="13" spans="1:8">
      <c r="A13" s="1">
        <v>1012</v>
      </c>
      <c r="B13" s="1" t="str">
        <v>Jason Johnson</v>
      </c>
      <c r="C13" s="1" t="str">
        <v>Male</v>
      </c>
      <c r="D13" s="1">
        <v>29017</v>
      </c>
      <c r="E13" s="1" t="str">
        <v>Suite 731 Lake Lau</v>
      </c>
      <c r="F13" s="1">
        <v>43504.0438657407</v>
      </c>
      <c r="G13" s="1">
        <v>2202734249</v>
      </c>
      <c r="H13" s="1" t="str">
        <v>olloyd@example.org</v>
      </c>
    </row>
    <row r="14" spans="1:8">
      <c r="A14" s="1">
        <v>1013</v>
      </c>
      <c r="B14" s="1" t="str">
        <v>Kathryn Bailey</v>
      </c>
      <c r="C14" s="1" t="str">
        <v>Male</v>
      </c>
      <c r="D14" s="1">
        <v>27582</v>
      </c>
      <c r="E14" s="1" t="str">
        <v>isions Apt 938 Jon</v>
      </c>
      <c r="F14" s="1">
        <v>43540.0494097222</v>
      </c>
      <c r="G14" s="1">
        <v>631476569</v>
      </c>
      <c r="H14" s="1" t="str">
        <v>smithkaren@example.com</v>
      </c>
    </row>
    <row r="15" spans="1:8">
      <c r="A15" s="1">
        <v>1014</v>
      </c>
      <c r="B15" s="1" t="str">
        <v>Timothy Mueller</v>
      </c>
      <c r="C15" s="1" t="str">
        <v>Female</v>
      </c>
      <c r="D15" s="1" t="str">
        <v>3/26/1991</v>
      </c>
      <c r="E15" s="1" t="str">
        <v>Island North Jonat</v>
      </c>
      <c r="F15" s="1">
        <v>43540.0494097222</v>
      </c>
      <c r="G15" s="1">
        <v>7770838942</v>
      </c>
      <c r="H15" s="1" t="str">
        <v>tinawright@example.net</v>
      </c>
    </row>
    <row r="16" spans="1:8">
      <c r="A16" s="1">
        <v>1015</v>
      </c>
      <c r="B16" s="1" t="str">
        <v>Miss Carrie Newton</v>
      </c>
      <c r="C16" s="1" t="str">
        <v>Male</v>
      </c>
      <c r="D16" s="1">
        <v>32366</v>
      </c>
      <c r="E16" s="1" t="str">
        <v>ns Suite 082 Aman</v>
      </c>
      <c r="F16" s="1">
        <v>43546.5578935185</v>
      </c>
      <c r="G16" s="1">
        <v>6141908454</v>
      </c>
      <c r="H16" s="1" t="str">
        <v>bradley00@example.com</v>
      </c>
    </row>
    <row r="17" spans="1:8">
      <c r="A17" s="1">
        <v>1016</v>
      </c>
      <c r="B17" s="1" t="str">
        <v>Debbie Martinez</v>
      </c>
      <c r="C17" s="1" t="str">
        <v>Male</v>
      </c>
      <c r="D17" s="1">
        <v>32445</v>
      </c>
      <c r="E17" s="1" t="str">
        <v>nk Burg West Larry</v>
      </c>
      <c r="F17" s="1">
        <v>43546.5578935185</v>
      </c>
      <c r="G17" s="1">
        <v>7626001014</v>
      </c>
      <c r="H17" s="1" t="str">
        <v>hansenallison@example.com</v>
      </c>
    </row>
    <row r="18" spans="1:8">
      <c r="A18" s="1">
        <v>1017</v>
      </c>
      <c r="B18" s="1" t="str">
        <v>Patricia Anderson</v>
      </c>
      <c r="C18" s="1" t="str">
        <v>Female</v>
      </c>
      <c r="D18" s="1" t="str">
        <v>2/20/1981</v>
      </c>
      <c r="E18" s="1" t="str">
        <v>ris Club Longcheste</v>
      </c>
      <c r="F18" s="1">
        <v>43553.1028240741</v>
      </c>
      <c r="G18" s="1">
        <v>9182980401</v>
      </c>
      <c r="H18" s="1" t="str">
        <v>nberg@example.org</v>
      </c>
    </row>
    <row r="19" spans="1:8">
      <c r="A19" s="1">
        <v>1018</v>
      </c>
      <c r="B19" s="1" t="str">
        <v>Joshua Taylor</v>
      </c>
      <c r="C19" s="1" t="str">
        <v>Female</v>
      </c>
      <c r="D19" s="1" t="str">
        <v>7/20/1998</v>
      </c>
      <c r="E19" s="1" t="str">
        <v>ssway New Kaylabc</v>
      </c>
      <c r="F19" s="1">
        <v>43553.1028240741</v>
      </c>
      <c r="G19" s="1">
        <v>6159074034</v>
      </c>
      <c r="H19" s="1" t="str">
        <v>vhill@example.net</v>
      </c>
    </row>
    <row r="20" spans="1:8">
      <c r="A20" s="1">
        <v>1019</v>
      </c>
      <c r="B20" s="1" t="str">
        <v>Samantha Vasquez</v>
      </c>
      <c r="C20" s="1" t="str">
        <v>Female</v>
      </c>
      <c r="D20" s="1">
        <v>29883</v>
      </c>
      <c r="E20" s="1" t="str">
        <v>rry New Taraborou</v>
      </c>
      <c r="F20" s="1">
        <v>43587.7382060185</v>
      </c>
      <c r="G20" s="1">
        <v>2035581905</v>
      </c>
      <c r="H20" s="1" t="str">
        <v>vlee@example.org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F9" sqref="F9"/>
    </sheetView>
  </sheetViews>
  <sheetFormatPr defaultColWidth="8.72727272727273" defaultRowHeight="14.5"/>
  <cols>
    <col min="1" max="1" width="8.09090909090909" style="1" customWidth="1"/>
    <col min="2" max="2" width="19.6363636363636" style="1" customWidth="1"/>
    <col min="3" max="3" width="17.8181818181818" style="1" customWidth="1"/>
    <col min="4" max="4" width="15.0909090909091" style="1" customWidth="1"/>
    <col min="5" max="5" width="18.7272727272727" style="1" customWidth="1"/>
    <col min="6" max="6" width="14.5454545454545" style="1" customWidth="1"/>
    <col min="7" max="7" width="20.5454545454545" style="1" customWidth="1"/>
    <col min="8" max="8" width="31" style="1" customWidth="1"/>
    <col min="9" max="9" width="18" style="1" customWidth="1"/>
    <col min="10" max="10" width="29.4545454545455" style="1" customWidth="1"/>
    <col min="11" max="11" width="20.6363636363636" style="1" customWidth="1"/>
    <col min="12" max="12" width="17.8181818181818" style="1" customWidth="1"/>
    <col min="13" max="13" width="22.1818181818182" style="1" customWidth="1"/>
    <col min="14" max="14" width="11.9090909090909" style="1" customWidth="1"/>
    <col min="15" max="15" width="10.2727272727273" style="1" customWidth="1"/>
    <col min="16" max="16" width="17.8181818181818" style="1" customWidth="1"/>
    <col min="17" max="17" width="27.4545454545455" style="1" customWidth="1"/>
    <col min="18" max="16384" width="8.72727272727273" style="1"/>
  </cols>
  <sheetData>
    <row r="1" spans="1:17">
      <c r="A1" s="1" t="str" cm="1">
        <f t="array" ref="A1:Q34">_xlfn.DROP(Data!A1:Q34,)</f>
        <v>Emp_ID</v>
      </c>
      <c r="B1" s="1" t="str">
        <v>Employee_name</v>
      </c>
      <c r="C1" s="1" t="str">
        <v>Employee_Gender</v>
      </c>
      <c r="D1" s="1" t="str">
        <v>Employee_DOB</v>
      </c>
      <c r="E1" s="1" t="str">
        <v>Employee_address</v>
      </c>
      <c r="F1" s="1" t="str">
        <v>Employee_DOJ</v>
      </c>
      <c r="G1" s="1" t="str">
        <v>Emp_Mobile Number</v>
      </c>
      <c r="H1" s="1" t="str">
        <v>Employee_Email_ID</v>
      </c>
      <c r="I1" s="1" t="str">
        <v>Employment_Type</v>
      </c>
      <c r="J1" s="1" t="str">
        <v>Employee_Employment_status</v>
      </c>
      <c r="K1" s="1" t="str">
        <v>Current_Annual_Cost</v>
      </c>
      <c r="L1" s="1" t="str">
        <v>Employment_level</v>
      </c>
      <c r="M1" s="1" t="str">
        <v>Reporting_manager_ID</v>
      </c>
      <c r="N1" s="1" t="str">
        <v>Department</v>
      </c>
      <c r="O1" s="1" t="str">
        <v>Branch_ID</v>
      </c>
      <c r="P1" s="1" t="str">
        <v>Job_Title</v>
      </c>
      <c r="Q1" s="1" t="str">
        <v>Manager_Non_Manager_tag</v>
      </c>
    </row>
    <row r="2" spans="1:17">
      <c r="A2" s="1">
        <v>1001</v>
      </c>
      <c r="B2" s="1" t="str">
        <v>Amy Peterson</v>
      </c>
      <c r="C2" s="1" t="str">
        <v>Male</v>
      </c>
      <c r="D2" s="1" t="str">
        <v>8/19/2004</v>
      </c>
      <c r="E2" s="1" t="str">
        <v>adow Suite 111 Nor</v>
      </c>
      <c r="F2" s="1">
        <v>43238.6900347222</v>
      </c>
      <c r="G2" s="1">
        <v>2315366229</v>
      </c>
      <c r="H2" s="1" t="str">
        <v>ricerandall@example.net</v>
      </c>
      <c r="I2" s="1" t="str">
        <v>Part-time</v>
      </c>
      <c r="J2" s="1" t="str">
        <v>Active</v>
      </c>
      <c r="K2" s="1">
        <v>83848.62</v>
      </c>
      <c r="L2" s="1" t="str">
        <v>Senior</v>
      </c>
      <c r="M2" s="1">
        <v>5028</v>
      </c>
      <c r="N2" s="1" t="str">
        <v>Operations</v>
      </c>
      <c r="O2" s="1">
        <v>9</v>
      </c>
      <c r="P2" s="1" t="str">
        <v>CEO</v>
      </c>
      <c r="Q2" s="1" t="str">
        <v>Manager</v>
      </c>
    </row>
    <row r="3" spans="1:17">
      <c r="A3" s="1">
        <v>1002</v>
      </c>
      <c r="B3" s="1" t="str">
        <v>Karen Shepherd</v>
      </c>
      <c r="C3" s="1" t="str">
        <v>Male</v>
      </c>
      <c r="D3" s="1">
        <v>37661</v>
      </c>
      <c r="E3" s="1" t="str">
        <v>59 Box 8468 DPO A</v>
      </c>
      <c r="F3" s="1">
        <v>43245.9053356481</v>
      </c>
      <c r="G3" s="1">
        <v>807886826</v>
      </c>
      <c r="H3" s="1" t="str">
        <v>timothynovak@example.net</v>
      </c>
      <c r="I3" s="1" t="str">
        <v>Contract</v>
      </c>
      <c r="J3" s="1" t="str">
        <v>Active</v>
      </c>
      <c r="K3" s="1">
        <v>65592.3</v>
      </c>
      <c r="L3" s="1" t="str">
        <v>Senior</v>
      </c>
      <c r="M3" s="1">
        <v>5011</v>
      </c>
      <c r="N3" s="1" t="str">
        <v>HR</v>
      </c>
      <c r="O3" s="1">
        <v>12</v>
      </c>
      <c r="P3" s="1" t="str">
        <v>COO</v>
      </c>
      <c r="Q3" s="1" t="str">
        <v>Manager</v>
      </c>
    </row>
    <row r="4" spans="1:17">
      <c r="A4" s="1">
        <v>1003</v>
      </c>
      <c r="B4" s="1" t="str">
        <v>Christopher Mendez</v>
      </c>
      <c r="C4" s="1" t="str">
        <v>Female</v>
      </c>
      <c r="D4" s="1">
        <v>33702</v>
      </c>
      <c r="E4" s="1" t="str">
        <v>59 Box 993 East D</v>
      </c>
      <c r="F4" s="1">
        <v>43280.5286921296</v>
      </c>
      <c r="G4" s="1">
        <v>5830455932</v>
      </c>
      <c r="H4" s="1" t="str">
        <v>brittany96@example.net</v>
      </c>
      <c r="I4" s="1" t="str">
        <v>Contract</v>
      </c>
      <c r="J4" s="1" t="str">
        <v>Active</v>
      </c>
      <c r="K4" s="1">
        <v>135277.08</v>
      </c>
      <c r="L4" s="1" t="str">
        <v>Senior</v>
      </c>
      <c r="M4" s="1">
        <v>5038</v>
      </c>
      <c r="N4" s="1" t="str">
        <v>IT</v>
      </c>
      <c r="O4" s="1">
        <v>17</v>
      </c>
      <c r="P4" s="1" t="str">
        <v>CFO</v>
      </c>
      <c r="Q4" s="1" t="str">
        <v>Manager</v>
      </c>
    </row>
    <row r="5" spans="1:17">
      <c r="A5" s="1">
        <v>1004</v>
      </c>
      <c r="B5" s="1" t="str">
        <v>Clayton Torres</v>
      </c>
      <c r="C5" s="1" t="str">
        <v>Female</v>
      </c>
      <c r="D5" s="1" t="str">
        <v>9/28/1999</v>
      </c>
      <c r="E5" s="1" t="str">
        <v>e Suite 825 Kevinb</v>
      </c>
      <c r="F5" s="1">
        <v>43288.2456481481</v>
      </c>
      <c r="G5" s="1">
        <v>6782478893</v>
      </c>
      <c r="H5" s="1" t="str">
        <v>bradfordrenee@example.net</v>
      </c>
      <c r="I5" s="1" t="str">
        <v>Full-time</v>
      </c>
      <c r="J5" s="1" t="str">
        <v>Active</v>
      </c>
      <c r="K5" s="1">
        <v>149938.47</v>
      </c>
      <c r="L5" s="1" t="str">
        <v>Senior</v>
      </c>
      <c r="M5" s="1">
        <v>5046</v>
      </c>
      <c r="N5" s="1" t="str">
        <v>HR</v>
      </c>
      <c r="O5" s="1">
        <v>9</v>
      </c>
      <c r="P5" s="1" t="str">
        <v>CHRO</v>
      </c>
      <c r="Q5" s="1" t="str">
        <v>Manager</v>
      </c>
    </row>
    <row r="6" spans="1:17">
      <c r="A6" s="1">
        <v>1005</v>
      </c>
      <c r="B6" s="1" t="str">
        <v>Nicholas Jenkins</v>
      </c>
      <c r="C6" s="1" t="str">
        <v>Female</v>
      </c>
      <c r="D6" s="1">
        <v>34336</v>
      </c>
      <c r="E6" s="1" t="str">
        <v>ird Plaza Markstad</v>
      </c>
      <c r="F6" s="1">
        <v>43292.9588773148</v>
      </c>
      <c r="G6" s="1">
        <v>7228707342</v>
      </c>
      <c r="H6" s="1" t="str">
        <v>lopezjacqueline@example.net</v>
      </c>
      <c r="I6" s="1" t="str">
        <v>Part-time</v>
      </c>
      <c r="J6" s="1" t="str">
        <v>Inactive</v>
      </c>
      <c r="K6" s="1">
        <v>76177.29</v>
      </c>
      <c r="L6" s="1" t="str">
        <v>Entry</v>
      </c>
      <c r="M6" s="1">
        <v>5042</v>
      </c>
      <c r="N6" s="1" t="str">
        <v>Operations</v>
      </c>
      <c r="O6" s="1">
        <v>18</v>
      </c>
      <c r="P6" s="1" t="str">
        <v>Manager</v>
      </c>
      <c r="Q6" s="1" t="str">
        <v>Manager</v>
      </c>
    </row>
    <row r="7" spans="1:17">
      <c r="A7" s="1">
        <v>1006</v>
      </c>
      <c r="B7" s="1" t="str">
        <v>Miss Tammy Smith</v>
      </c>
      <c r="C7" s="1" t="str">
        <v>Male</v>
      </c>
      <c r="D7" s="1" t="str">
        <v>1/18/1978</v>
      </c>
      <c r="E7" s="1" t="str">
        <v>Orchard Anthonys</v>
      </c>
      <c r="F7" s="1">
        <v>43299.3779976852</v>
      </c>
      <c r="G7" s="1">
        <v>1154256848</v>
      </c>
      <c r="H7" s="1" t="str">
        <v>andrewthomas@example.com</v>
      </c>
      <c r="I7" s="1" t="str">
        <v>Full-time</v>
      </c>
      <c r="J7" s="1" t="str">
        <v>Active</v>
      </c>
      <c r="K7" s="1">
        <v>87231.5</v>
      </c>
      <c r="L7" s="1" t="str">
        <v>Entry</v>
      </c>
      <c r="M7" s="1">
        <v>5039</v>
      </c>
      <c r="N7" s="1" t="str">
        <v>Sales</v>
      </c>
      <c r="O7" s="1">
        <v>10</v>
      </c>
      <c r="P7" s="1" t="str">
        <v>Cashier</v>
      </c>
      <c r="Q7" s="1" t="str">
        <v>Non-Manager</v>
      </c>
    </row>
    <row r="8" spans="1:17">
      <c r="A8" s="1">
        <v>1007</v>
      </c>
      <c r="B8" s="1" t="str">
        <v>Andres Simpson</v>
      </c>
      <c r="C8" s="1" t="str">
        <v>Male</v>
      </c>
      <c r="D8" s="1">
        <v>34494</v>
      </c>
      <c r="E8" s="1" t="str">
        <v>re Apt 788 Bowma</v>
      </c>
      <c r="F8" s="1">
        <v>43323.1121759259</v>
      </c>
      <c r="G8" s="1">
        <v>5043986660</v>
      </c>
      <c r="H8" s="1" t="str">
        <v>lunakaren@example.net</v>
      </c>
      <c r="I8" s="1" t="str">
        <v>Part-time</v>
      </c>
      <c r="J8" s="1" t="str">
        <v>Active</v>
      </c>
      <c r="K8" s="1">
        <v>122227.36</v>
      </c>
      <c r="L8" s="1" t="str">
        <v>Senior</v>
      </c>
      <c r="M8" s="1">
        <v>5006</v>
      </c>
      <c r="N8" s="1" t="str">
        <v>Sales</v>
      </c>
      <c r="O8" s="1">
        <v>21</v>
      </c>
      <c r="P8" s="1" t="str">
        <v>Manager</v>
      </c>
      <c r="Q8" s="1" t="str">
        <v>Manager</v>
      </c>
    </row>
    <row r="9" spans="1:17">
      <c r="A9" s="1">
        <v>1008</v>
      </c>
      <c r="B9" s="1" t="str">
        <v>Barbara Brown</v>
      </c>
      <c r="C9" s="1" t="str">
        <v>Male</v>
      </c>
      <c r="D9" s="1">
        <v>37253</v>
      </c>
      <c r="E9" s="1" t="str">
        <v>Bridge South Davidi</v>
      </c>
      <c r="F9" s="1">
        <v>43326.062025463</v>
      </c>
      <c r="G9" s="1">
        <v>7867038376</v>
      </c>
      <c r="H9" s="1" t="str">
        <v>dlflynn@example.org</v>
      </c>
      <c r="I9" s="1" t="str">
        <v>Full-time</v>
      </c>
      <c r="J9" s="1" t="str">
        <v>Active</v>
      </c>
      <c r="K9" s="1">
        <v>52548.53</v>
      </c>
      <c r="L9" s="1" t="str">
        <v>Lead</v>
      </c>
      <c r="M9" s="1">
        <v>5038</v>
      </c>
      <c r="N9" s="1" t="str">
        <v>Finance</v>
      </c>
      <c r="O9" s="1">
        <v>12</v>
      </c>
      <c r="P9" s="1" t="str">
        <v>Delivery Driver</v>
      </c>
      <c r="Q9" s="1" t="str">
        <v>Non-Manager</v>
      </c>
    </row>
    <row r="10" spans="1:17">
      <c r="A10" s="1">
        <v>1009</v>
      </c>
      <c r="B10" s="1" t="str">
        <v>Julie Mcdaniel</v>
      </c>
      <c r="C10" s="1" t="str">
        <v>Female</v>
      </c>
      <c r="D10" s="1" t="str">
        <v>1/30/1992</v>
      </c>
      <c r="E10" s="1" t="str">
        <v>Drive Lake Kayport</v>
      </c>
      <c r="F10" s="1">
        <v>43348.7685532407</v>
      </c>
      <c r="G10" s="1">
        <v>6433876874</v>
      </c>
      <c r="H10" s="1" t="str">
        <v>wilsonchristopher@example.org</v>
      </c>
      <c r="I10" s="1" t="str">
        <v>Contract</v>
      </c>
      <c r="J10" s="1" t="str">
        <v>Inactive</v>
      </c>
      <c r="K10" s="1">
        <v>95363.59</v>
      </c>
      <c r="L10" s="1" t="str">
        <v>Senior</v>
      </c>
      <c r="M10" s="1">
        <v>5048</v>
      </c>
      <c r="N10" s="1" t="str">
        <v>Sales</v>
      </c>
      <c r="O10" s="1">
        <v>12</v>
      </c>
      <c r="P10" s="1" t="str">
        <v>Chef</v>
      </c>
      <c r="Q10" s="1" t="str">
        <v>Non-Manager</v>
      </c>
    </row>
    <row r="11" spans="1:17">
      <c r="A11" s="1">
        <v>1010</v>
      </c>
      <c r="B11" s="1" t="str">
        <v>Christopher Gross</v>
      </c>
      <c r="C11" s="1" t="str">
        <v>Male</v>
      </c>
      <c r="D11" s="1">
        <v>30535</v>
      </c>
      <c r="E11" s="1" t="str">
        <v>3 Box 1167 APO A</v>
      </c>
      <c r="F11" s="1">
        <v>43465.6445601852</v>
      </c>
      <c r="G11" s="1">
        <v>3403185699</v>
      </c>
      <c r="H11" s="1" t="str">
        <v>paul72@example.org</v>
      </c>
      <c r="I11" s="1" t="str">
        <v>Part-time</v>
      </c>
      <c r="J11" s="1" t="str">
        <v>Active</v>
      </c>
      <c r="K11" s="1">
        <v>88476.04</v>
      </c>
      <c r="L11" s="1" t="str">
        <v>Mid</v>
      </c>
      <c r="M11" s="1">
        <v>5044</v>
      </c>
      <c r="N11" s="1" t="str">
        <v>IT</v>
      </c>
      <c r="O11" s="1">
        <v>5</v>
      </c>
      <c r="P11" s="1" t="str">
        <v>Delivery Driver</v>
      </c>
      <c r="Q11" s="1" t="str">
        <v>Non-Manager</v>
      </c>
    </row>
    <row r="12" spans="1:17">
      <c r="A12" s="1">
        <v>1011</v>
      </c>
      <c r="B12" s="1" t="str">
        <v>James Smith</v>
      </c>
      <c r="C12" s="1" t="str">
        <v>Female</v>
      </c>
      <c r="D12" s="1">
        <v>37237</v>
      </c>
      <c r="E12" s="1" t="str">
        <v>res Suite 757 Nicho</v>
      </c>
      <c r="F12" s="1">
        <v>43504.0438657407</v>
      </c>
      <c r="G12" s="1">
        <v>1066055070</v>
      </c>
      <c r="H12" s="1" t="str">
        <v>nortonbrian@example.net</v>
      </c>
      <c r="I12" s="1" t="str">
        <v>Contract</v>
      </c>
      <c r="J12" s="1" t="str">
        <v>Active</v>
      </c>
      <c r="K12" s="1">
        <v>139423.85</v>
      </c>
      <c r="L12" s="1" t="str">
        <v>Entry</v>
      </c>
      <c r="M12" s="1">
        <v>5004</v>
      </c>
      <c r="N12" s="1" t="str">
        <v>Sales</v>
      </c>
      <c r="O12" s="1">
        <v>14</v>
      </c>
      <c r="P12" s="1" t="str">
        <v>Manager</v>
      </c>
      <c r="Q12" s="1" t="str">
        <v>Manager</v>
      </c>
    </row>
    <row r="13" spans="1:17">
      <c r="A13" s="1">
        <v>1012</v>
      </c>
      <c r="B13" s="1" t="str">
        <v>Jason Johnson</v>
      </c>
      <c r="C13" s="1" t="str">
        <v>Male</v>
      </c>
      <c r="D13" s="1">
        <v>29017</v>
      </c>
      <c r="E13" s="1" t="str">
        <v>Suite 731 Lake Lau</v>
      </c>
      <c r="F13" s="1">
        <v>43504.0438657407</v>
      </c>
      <c r="G13" s="1">
        <v>2202734249</v>
      </c>
      <c r="H13" s="1" t="str">
        <v>olloyd@example.org</v>
      </c>
      <c r="I13" s="1" t="str">
        <v>Contract</v>
      </c>
      <c r="J13" s="1" t="str">
        <v>Active</v>
      </c>
      <c r="K13" s="1">
        <v>80127.28</v>
      </c>
      <c r="L13" s="1" t="str">
        <v>Senior</v>
      </c>
      <c r="M13" s="1">
        <v>5029</v>
      </c>
      <c r="N13" s="1" t="str">
        <v>Sales</v>
      </c>
      <c r="O13" s="1">
        <v>9</v>
      </c>
      <c r="P13" s="1" t="str">
        <v>Delivery Driver</v>
      </c>
      <c r="Q13" s="1" t="str">
        <v>Non-Manager</v>
      </c>
    </row>
    <row r="14" spans="1:17">
      <c r="A14" s="1">
        <v>1013</v>
      </c>
      <c r="B14" s="1" t="str">
        <v>Kathryn Bailey</v>
      </c>
      <c r="C14" s="1" t="str">
        <v>Male</v>
      </c>
      <c r="D14" s="1">
        <v>27582</v>
      </c>
      <c r="E14" s="1" t="str">
        <v>isions Apt 938 Jon</v>
      </c>
      <c r="F14" s="1">
        <v>43540.0494097222</v>
      </c>
      <c r="G14" s="1">
        <v>631476569</v>
      </c>
      <c r="H14" s="1" t="str">
        <v>smithkaren@example.com</v>
      </c>
      <c r="I14" s="1" t="str">
        <v>Contract</v>
      </c>
      <c r="J14" s="1" t="str">
        <v>Active</v>
      </c>
      <c r="K14" s="1">
        <v>109740.68</v>
      </c>
      <c r="L14" s="1" t="str">
        <v>Senior</v>
      </c>
      <c r="M14" s="1">
        <v>5046</v>
      </c>
      <c r="N14" s="1" t="str">
        <v>Operations</v>
      </c>
      <c r="O14" s="1">
        <v>4</v>
      </c>
      <c r="P14" s="1" t="str">
        <v>Delivery Driver</v>
      </c>
      <c r="Q14" s="1" t="str">
        <v>Non-Manager</v>
      </c>
    </row>
    <row r="15" spans="1:17">
      <c r="A15" s="1">
        <v>1014</v>
      </c>
      <c r="B15" s="1" t="str">
        <v>Timothy Mueller</v>
      </c>
      <c r="C15" s="1" t="str">
        <v>Female</v>
      </c>
      <c r="D15" s="1" t="str">
        <v>3/26/1991</v>
      </c>
      <c r="E15" s="1" t="str">
        <v>Island North Jonat</v>
      </c>
      <c r="F15" s="1">
        <v>43540.0494097222</v>
      </c>
      <c r="G15" s="1">
        <v>7770838942</v>
      </c>
      <c r="H15" s="1" t="str">
        <v>tinawright@example.net</v>
      </c>
      <c r="I15" s="1" t="str">
        <v>Part-time</v>
      </c>
      <c r="J15" s="1" t="str">
        <v>Inactive</v>
      </c>
      <c r="K15" s="1">
        <v>58175</v>
      </c>
      <c r="L15" s="1" t="str">
        <v>Entry</v>
      </c>
      <c r="M15" s="1">
        <v>5029</v>
      </c>
      <c r="N15" s="1" t="str">
        <v>Finance</v>
      </c>
      <c r="O15" s="1">
        <v>4</v>
      </c>
      <c r="P15" s="1" t="str">
        <v>Delivery Driver</v>
      </c>
      <c r="Q15" s="1" t="str">
        <v>Non-Manager</v>
      </c>
    </row>
    <row r="16" spans="1:17">
      <c r="A16" s="1">
        <v>1015</v>
      </c>
      <c r="B16" s="1" t="str">
        <v>Miss Carrie Newton</v>
      </c>
      <c r="C16" s="1" t="str">
        <v>Male</v>
      </c>
      <c r="D16" s="1">
        <v>32366</v>
      </c>
      <c r="E16" s="1" t="str">
        <v>ns Suite 082 Aman</v>
      </c>
      <c r="F16" s="1">
        <v>43546.5578935185</v>
      </c>
      <c r="G16" s="1">
        <v>6141908454</v>
      </c>
      <c r="H16" s="1" t="str">
        <v>bradley00@example.com</v>
      </c>
      <c r="I16" s="1" t="str">
        <v>Full-time</v>
      </c>
      <c r="J16" s="1" t="str">
        <v>Inactive</v>
      </c>
      <c r="K16" s="1">
        <v>37979.62</v>
      </c>
      <c r="L16" s="1" t="str">
        <v>Senior</v>
      </c>
      <c r="M16" s="1">
        <v>5010</v>
      </c>
      <c r="N16" s="1" t="str">
        <v>HR</v>
      </c>
      <c r="O16" s="1">
        <v>9</v>
      </c>
      <c r="P16" s="1" t="str">
        <v>Manager</v>
      </c>
      <c r="Q16" s="1" t="str">
        <v>Manager</v>
      </c>
    </row>
    <row r="17" spans="1:17">
      <c r="A17" s="1">
        <v>1016</v>
      </c>
      <c r="B17" s="1" t="str">
        <v>Debbie Martinez</v>
      </c>
      <c r="C17" s="1" t="str">
        <v>Male</v>
      </c>
      <c r="D17" s="1">
        <v>32445</v>
      </c>
      <c r="E17" s="1" t="str">
        <v>nk Burg West Larry</v>
      </c>
      <c r="F17" s="1">
        <v>43546.5578935185</v>
      </c>
      <c r="G17" s="1">
        <v>7626001014</v>
      </c>
      <c r="H17" s="1" t="str">
        <v>hansenallison@example.com</v>
      </c>
      <c r="I17" s="1" t="str">
        <v>Full-time</v>
      </c>
      <c r="J17" s="1" t="str">
        <v>Inactive</v>
      </c>
      <c r="K17" s="1">
        <v>74692.7</v>
      </c>
      <c r="L17" s="1" t="str">
        <v>Lead</v>
      </c>
      <c r="M17" s="1">
        <v>5035</v>
      </c>
      <c r="N17" s="1" t="str">
        <v>Sales</v>
      </c>
      <c r="O17" s="1">
        <v>19</v>
      </c>
      <c r="P17" s="1" t="str">
        <v>Assistant Manager</v>
      </c>
      <c r="Q17" s="1" t="str">
        <v>Manager</v>
      </c>
    </row>
    <row r="18" spans="1:17">
      <c r="A18" s="1">
        <v>1017</v>
      </c>
      <c r="B18" s="1" t="str">
        <v>Patricia Anderson</v>
      </c>
      <c r="C18" s="1" t="str">
        <v>Female</v>
      </c>
      <c r="D18" s="1" t="str">
        <v>2/20/1981</v>
      </c>
      <c r="E18" s="1" t="str">
        <v>ris Club Longcheste</v>
      </c>
      <c r="F18" s="1">
        <v>43553.1028240741</v>
      </c>
      <c r="G18" s="1">
        <v>9182980401</v>
      </c>
      <c r="H18" s="1" t="str">
        <v>nberg@example.org</v>
      </c>
      <c r="I18" s="1" t="str">
        <v>Contract</v>
      </c>
      <c r="J18" s="1" t="str">
        <v>Inactive</v>
      </c>
      <c r="K18" s="1">
        <v>58336.35</v>
      </c>
      <c r="L18" s="1" t="str">
        <v>Mid</v>
      </c>
      <c r="M18" s="1">
        <v>5017</v>
      </c>
      <c r="N18" s="1" t="str">
        <v>HR</v>
      </c>
      <c r="O18" s="1">
        <v>16</v>
      </c>
      <c r="P18" s="1" t="str">
        <v>Cashier</v>
      </c>
      <c r="Q18" s="1" t="str">
        <v>Non-Manager</v>
      </c>
    </row>
    <row r="19" spans="1:17">
      <c r="A19" s="1">
        <v>1018</v>
      </c>
      <c r="B19" s="1" t="str">
        <v>Joshua Taylor</v>
      </c>
      <c r="C19" s="1" t="str">
        <v>Female</v>
      </c>
      <c r="D19" s="1" t="str">
        <v>7/20/1998</v>
      </c>
      <c r="E19" s="1" t="str">
        <v>ssway New Kaylabc</v>
      </c>
      <c r="F19" s="1">
        <v>43553.1028240741</v>
      </c>
      <c r="G19" s="1">
        <v>6159074034</v>
      </c>
      <c r="H19" s="1" t="str">
        <v>vhill@example.net</v>
      </c>
      <c r="I19" s="1" t="str">
        <v>Part-time</v>
      </c>
      <c r="J19" s="1" t="str">
        <v>Inactive</v>
      </c>
      <c r="K19" s="1">
        <v>65626.01</v>
      </c>
      <c r="L19" s="1" t="str">
        <v>Senior</v>
      </c>
      <c r="M19" s="1">
        <v>5029</v>
      </c>
      <c r="N19" s="1" t="str">
        <v>IT</v>
      </c>
      <c r="O19" s="1">
        <v>4</v>
      </c>
      <c r="P19" s="1" t="str">
        <v>Manager</v>
      </c>
      <c r="Q19" s="1" t="str">
        <v>Manager</v>
      </c>
    </row>
    <row r="20" spans="1:17">
      <c r="A20" s="1">
        <v>1019</v>
      </c>
      <c r="B20" s="1" t="str">
        <v>Samantha Vasquez</v>
      </c>
      <c r="C20" s="1" t="str">
        <v>Female</v>
      </c>
      <c r="D20" s="1">
        <v>29883</v>
      </c>
      <c r="E20" s="1" t="str">
        <v>rry New Taraborou</v>
      </c>
      <c r="F20" s="1">
        <v>43587.7382060185</v>
      </c>
      <c r="G20" s="1">
        <v>2035581905</v>
      </c>
      <c r="H20" s="1" t="str">
        <v>vlee@example.org</v>
      </c>
      <c r="I20" s="1" t="str">
        <v>Full-time</v>
      </c>
      <c r="J20" s="1" t="str">
        <v>Active</v>
      </c>
      <c r="K20" s="1">
        <v>86659.34</v>
      </c>
      <c r="L20" s="1" t="str">
        <v>Senior</v>
      </c>
      <c r="M20" s="1">
        <v>5049</v>
      </c>
      <c r="N20" s="1" t="str">
        <v>Operations</v>
      </c>
      <c r="O20" s="1">
        <v>8</v>
      </c>
      <c r="P20" s="1" t="str">
        <v>Assistant Manager</v>
      </c>
      <c r="Q20" s="1" t="str">
        <v>Manager</v>
      </c>
    </row>
    <row r="21" spans="1:17">
      <c r="A21" s="1">
        <v>1020</v>
      </c>
      <c r="B21" s="1" t="str">
        <v>Mr Michael Scott</v>
      </c>
      <c r="C21" s="1" t="str">
        <v>Female</v>
      </c>
      <c r="D21" s="1">
        <v>30440</v>
      </c>
      <c r="E21" s="1" t="str">
        <v>Apt 360 Benjamin</v>
      </c>
      <c r="F21" s="1">
        <v>43587.7382060185</v>
      </c>
      <c r="G21" s="1">
        <v>8972603022</v>
      </c>
      <c r="H21" s="1" t="str">
        <v>blacknathaniel@example.org</v>
      </c>
      <c r="I21" s="1" t="str">
        <v>Part-time</v>
      </c>
      <c r="J21" s="1" t="str">
        <v>Active</v>
      </c>
      <c r="K21" s="1">
        <v>46423.31</v>
      </c>
      <c r="L21" s="1" t="str">
        <v>Senior</v>
      </c>
      <c r="M21" s="1">
        <v>5043</v>
      </c>
      <c r="N21" s="1" t="str">
        <v>IT</v>
      </c>
      <c r="O21" s="1">
        <v>11</v>
      </c>
      <c r="P21" s="1" t="str">
        <v>Assistant Manager</v>
      </c>
      <c r="Q21" s="1" t="str">
        <v>Manager</v>
      </c>
    </row>
    <row r="22" spans="1:17">
      <c r="A22" s="1">
        <v>1021</v>
      </c>
      <c r="B22" s="1" t="str">
        <v>Bianca Wong</v>
      </c>
      <c r="C22" s="1" t="str">
        <v>Male</v>
      </c>
      <c r="D22" s="1" t="str">
        <v>1/17/1993</v>
      </c>
      <c r="E22" s="1" t="str">
        <v>Mount West Bran</v>
      </c>
      <c r="F22" s="1">
        <v>43588.0078703704</v>
      </c>
      <c r="G22" s="1">
        <v>4554666927</v>
      </c>
      <c r="H22" s="1" t="str">
        <v>aaronhill@example.com</v>
      </c>
      <c r="I22" s="1" t="str">
        <v>Contract</v>
      </c>
      <c r="J22" s="1" t="str">
        <v>Active</v>
      </c>
      <c r="K22" s="1">
        <v>105284.62</v>
      </c>
      <c r="L22" s="1" t="str">
        <v>Mid</v>
      </c>
      <c r="M22" s="1">
        <v>5024</v>
      </c>
      <c r="N22" s="1" t="str">
        <v>Operations</v>
      </c>
      <c r="O22" s="1">
        <v>12</v>
      </c>
      <c r="P22" s="1" t="str">
        <v>Delivery Driver</v>
      </c>
      <c r="Q22" s="1" t="str">
        <v>Non-Manager</v>
      </c>
    </row>
    <row r="23" spans="1:17">
      <c r="A23" s="1">
        <v>1022</v>
      </c>
      <c r="B23" s="1" t="str">
        <v>Willie Martinez</v>
      </c>
      <c r="C23" s="1" t="str">
        <v>Female</v>
      </c>
      <c r="D23" s="1">
        <v>28557</v>
      </c>
      <c r="E23" s="1" t="str">
        <v>dens Apt 971 Port</v>
      </c>
      <c r="F23" s="1">
        <v>43588.0078703704</v>
      </c>
      <c r="G23" s="1">
        <v>8324142553</v>
      </c>
      <c r="H23" s="1" t="str">
        <v>davidjohnson@example.org</v>
      </c>
      <c r="I23" s="1" t="str">
        <v>Full-time</v>
      </c>
      <c r="J23" s="1" t="str">
        <v>Inactive</v>
      </c>
      <c r="K23" s="1">
        <v>119607.18</v>
      </c>
      <c r="L23" s="1" t="str">
        <v>Mid</v>
      </c>
      <c r="M23" s="1">
        <v>5050</v>
      </c>
      <c r="N23" s="1" t="str">
        <v>Finance</v>
      </c>
      <c r="O23" s="1">
        <v>18</v>
      </c>
      <c r="P23" s="1" t="str">
        <v>Assistant Manager</v>
      </c>
      <c r="Q23" s="1" t="str">
        <v>Manager</v>
      </c>
    </row>
    <row r="24" spans="1:17">
      <c r="A24" s="1">
        <v>1023</v>
      </c>
      <c r="B24" s="1" t="str">
        <v>Tracey Gonzalez</v>
      </c>
      <c r="C24" s="1" t="str">
        <v>Female</v>
      </c>
      <c r="D24" s="1">
        <v>27717</v>
      </c>
      <c r="E24" s="1" t="str">
        <v>lain North Marios</v>
      </c>
      <c r="F24" s="1">
        <v>43595.7052546296</v>
      </c>
      <c r="G24" s="1">
        <v>1071585188</v>
      </c>
      <c r="H24" s="1" t="str">
        <v>ana79@example.org</v>
      </c>
      <c r="I24" s="1" t="str">
        <v>Part-time</v>
      </c>
      <c r="J24" s="1" t="str">
        <v>Active</v>
      </c>
      <c r="K24" s="1">
        <v>109154.41</v>
      </c>
      <c r="L24" s="1" t="str">
        <v>Entry</v>
      </c>
      <c r="M24" s="1">
        <v>5006</v>
      </c>
      <c r="N24" s="1" t="str">
        <v>HR</v>
      </c>
      <c r="O24" s="1">
        <v>7</v>
      </c>
      <c r="P24" s="1" t="str">
        <v>Assistant Manager</v>
      </c>
      <c r="Q24" s="1" t="str">
        <v>Manager</v>
      </c>
    </row>
    <row r="25" spans="1:17">
      <c r="A25" s="1">
        <v>1024</v>
      </c>
      <c r="B25" s="1" t="str">
        <v>Jessica Lynch</v>
      </c>
      <c r="C25" s="1" t="str">
        <v>Male</v>
      </c>
      <c r="D25" s="1">
        <v>36503</v>
      </c>
      <c r="E25" s="1" t="str">
        <v>lain Port Lorihans</v>
      </c>
      <c r="F25" s="1">
        <v>43595.7052546296</v>
      </c>
      <c r="G25" s="1">
        <v>5491666826</v>
      </c>
      <c r="H25" s="1" t="str">
        <v>lewiseric@example.org</v>
      </c>
      <c r="I25" s="1" t="str">
        <v>Full-time</v>
      </c>
      <c r="J25" s="1" t="str">
        <v>Inactive</v>
      </c>
      <c r="K25" s="1">
        <v>119381.54</v>
      </c>
      <c r="L25" s="1" t="str">
        <v>Entry</v>
      </c>
      <c r="M25" s="1">
        <v>5049</v>
      </c>
      <c r="N25" s="1" t="str">
        <v>Finance</v>
      </c>
      <c r="O25" s="1">
        <v>12</v>
      </c>
      <c r="P25" s="1" t="str">
        <v>Delivery Driver</v>
      </c>
      <c r="Q25" s="1" t="str">
        <v>Non-Manager</v>
      </c>
    </row>
    <row r="26" spans="1:17">
      <c r="A26" s="1">
        <v>1025</v>
      </c>
      <c r="B26" s="1" t="str">
        <v>Autumn Murphy</v>
      </c>
      <c r="C26" s="1" t="str">
        <v>Female</v>
      </c>
      <c r="D26" s="1">
        <v>26916</v>
      </c>
      <c r="E26" s="1" t="str">
        <v>lain Suite 435 Joser</v>
      </c>
      <c r="F26" s="1">
        <v>43636.1829976852</v>
      </c>
      <c r="G26" s="1">
        <v>2138742087</v>
      </c>
      <c r="H26" s="1" t="str">
        <v>rhonda28@example.org</v>
      </c>
      <c r="I26" s="1" t="str">
        <v>Part-time</v>
      </c>
      <c r="J26" s="1" t="str">
        <v>Inactive</v>
      </c>
      <c r="K26" s="1">
        <v>32627.19</v>
      </c>
      <c r="L26" s="1" t="str">
        <v>Mid</v>
      </c>
      <c r="M26" s="1">
        <v>5039</v>
      </c>
      <c r="N26" s="1" t="str">
        <v>Sales</v>
      </c>
      <c r="O26" s="1">
        <v>13</v>
      </c>
      <c r="P26" s="1" t="str">
        <v>Manager</v>
      </c>
      <c r="Q26" s="1" t="str">
        <v>Manager</v>
      </c>
    </row>
    <row r="27" spans="1:17">
      <c r="A27" s="1">
        <v>1026</v>
      </c>
      <c r="B27" s="1" t="str">
        <v>Andrea Gonzalez</v>
      </c>
      <c r="C27" s="1" t="str">
        <v>Male</v>
      </c>
      <c r="D27" s="1">
        <v>36312</v>
      </c>
      <c r="E27" s="1" t="str">
        <v>ills Apt 218 Carri</v>
      </c>
      <c r="F27" s="1">
        <v>43638.1519675926</v>
      </c>
      <c r="G27" s="1">
        <v>9277483782</v>
      </c>
      <c r="H27" s="1" t="str">
        <v>beckerrebecca@example.org</v>
      </c>
      <c r="I27" s="1" t="str">
        <v>Contract</v>
      </c>
      <c r="J27" s="1" t="str">
        <v>Active</v>
      </c>
      <c r="K27" s="1">
        <v>79000.8</v>
      </c>
      <c r="L27" s="1" t="str">
        <v>Entry</v>
      </c>
      <c r="M27" s="1">
        <v>5049</v>
      </c>
      <c r="N27" s="1" t="str">
        <v>Sales</v>
      </c>
      <c r="O27" s="1">
        <v>13</v>
      </c>
      <c r="P27" s="1" t="str">
        <v>Cashier</v>
      </c>
      <c r="Q27" s="1" t="str">
        <v>Non-Manager</v>
      </c>
    </row>
    <row r="28" spans="1:17">
      <c r="A28" s="1">
        <v>1027</v>
      </c>
      <c r="B28" s="1" t="str">
        <v>Sarah Griffin</v>
      </c>
      <c r="C28" s="1" t="str">
        <v>Female</v>
      </c>
      <c r="D28" s="1">
        <v>33209</v>
      </c>
      <c r="E28" s="1" t="str">
        <v>rest South Rickyb</v>
      </c>
      <c r="F28" s="1">
        <v>43649.9498148148</v>
      </c>
      <c r="G28" s="1">
        <v>6509482537</v>
      </c>
      <c r="H28" s="1" t="str">
        <v>jschneider@example.net</v>
      </c>
      <c r="I28" s="1" t="str">
        <v>Part-time</v>
      </c>
      <c r="J28" s="1" t="str">
        <v>Active</v>
      </c>
      <c r="K28" s="1">
        <v>121322.47</v>
      </c>
      <c r="L28" s="1" t="str">
        <v>Entry</v>
      </c>
      <c r="M28" s="1">
        <v>5001</v>
      </c>
      <c r="N28" s="1" t="str">
        <v>Finance</v>
      </c>
      <c r="O28" s="1">
        <v>12</v>
      </c>
      <c r="P28" s="1" t="str">
        <v>Manager</v>
      </c>
      <c r="Q28" s="1" t="str">
        <v>Manager</v>
      </c>
    </row>
    <row r="29" spans="1:17">
      <c r="A29" s="1">
        <v>1028</v>
      </c>
      <c r="B29" s="1" t="str">
        <v>Kent Brown</v>
      </c>
      <c r="C29" s="1" t="str">
        <v>Female</v>
      </c>
      <c r="D29" s="1">
        <v>30562</v>
      </c>
      <c r="E29" s="1" t="str">
        <v>Stream Davidberg</v>
      </c>
      <c r="F29" s="1">
        <v>43652.9415625</v>
      </c>
      <c r="G29" s="1">
        <v>1336383965</v>
      </c>
      <c r="H29" s="1" t="str">
        <v>richardklein@example.org</v>
      </c>
      <c r="I29" s="1" t="str">
        <v>Full-time</v>
      </c>
      <c r="J29" s="1" t="str">
        <v>Active</v>
      </c>
      <c r="K29" s="1">
        <v>110508.14</v>
      </c>
      <c r="L29" s="1" t="str">
        <v>Lead</v>
      </c>
      <c r="M29" s="1">
        <v>5012</v>
      </c>
      <c r="N29" s="1" t="str">
        <v>IT</v>
      </c>
      <c r="O29" s="1">
        <v>11</v>
      </c>
      <c r="P29" s="1" t="str">
        <v>Chef</v>
      </c>
      <c r="Q29" s="1" t="str">
        <v>Non-Manager</v>
      </c>
    </row>
    <row r="30" spans="1:17">
      <c r="A30" s="1">
        <v>1029</v>
      </c>
      <c r="B30" s="1" t="str">
        <v>Donna Garcia</v>
      </c>
      <c r="C30" s="1" t="str">
        <v>Female</v>
      </c>
      <c r="D30" s="1">
        <v>32579</v>
      </c>
      <c r="E30" s="1" t="str">
        <v>n Harbors Port Ma</v>
      </c>
      <c r="F30" s="1">
        <v>43702.2830208333</v>
      </c>
      <c r="G30" s="1">
        <v>2147417355</v>
      </c>
      <c r="H30" s="1" t="str">
        <v>ndavis@example.net</v>
      </c>
      <c r="I30" s="1" t="str">
        <v>Part-time</v>
      </c>
      <c r="J30" s="1" t="str">
        <v>Inactive</v>
      </c>
      <c r="K30" s="1">
        <v>55332.05</v>
      </c>
      <c r="L30" s="1" t="str">
        <v>Senior</v>
      </c>
      <c r="M30" s="1">
        <v>5048</v>
      </c>
      <c r="N30" s="1" t="str">
        <v>HR</v>
      </c>
      <c r="O30" s="1">
        <v>19</v>
      </c>
      <c r="P30" s="1" t="str">
        <v>Manager</v>
      </c>
      <c r="Q30" s="1" t="str">
        <v>Manager</v>
      </c>
    </row>
    <row r="31" spans="1:17">
      <c r="A31" s="1">
        <v>1030</v>
      </c>
      <c r="B31" s="1" t="str">
        <v>Brian Mitchell</v>
      </c>
      <c r="C31" s="1" t="str">
        <v>Male</v>
      </c>
      <c r="D31" s="1" t="str">
        <v>3/19/1988</v>
      </c>
      <c r="E31" s="1" t="str">
        <v>Junction Aaronme</v>
      </c>
      <c r="F31" s="1">
        <v>43714.9755671296</v>
      </c>
      <c r="G31" s="1">
        <v>7308135189</v>
      </c>
      <c r="H31" s="1" t="str">
        <v>maryvelez@example.com</v>
      </c>
      <c r="I31" s="1" t="str">
        <v>Full-time</v>
      </c>
      <c r="J31" s="1" t="str">
        <v>Active</v>
      </c>
      <c r="K31" s="1">
        <v>65626.01</v>
      </c>
      <c r="L31" s="1" t="str">
        <v>Senior</v>
      </c>
      <c r="M31" s="1">
        <v>5029</v>
      </c>
      <c r="N31" s="1" t="str">
        <v>IT</v>
      </c>
      <c r="O31" s="1">
        <v>4</v>
      </c>
      <c r="P31" s="1" t="str">
        <v>Manager</v>
      </c>
      <c r="Q31" s="1" t="str">
        <v>Manager</v>
      </c>
    </row>
    <row r="32" spans="1:17">
      <c r="A32" s="1">
        <v>1031</v>
      </c>
      <c r="B32" s="1" t="str">
        <v>Michael Foster</v>
      </c>
      <c r="C32" s="1" t="str">
        <v>Male</v>
      </c>
      <c r="D32" s="1">
        <v>28784</v>
      </c>
      <c r="E32" s="1" t="str">
        <v>ads Suite 788 East</v>
      </c>
      <c r="F32" s="1">
        <v>43756.4270138889</v>
      </c>
      <c r="G32" s="1">
        <v>591725049</v>
      </c>
      <c r="H32" s="1" t="str">
        <v>reneebranch@example.com</v>
      </c>
      <c r="I32" s="1" t="str">
        <v>Full-time</v>
      </c>
      <c r="J32" s="1" t="str">
        <v>Inactive</v>
      </c>
      <c r="K32" s="1">
        <v>86659.34</v>
      </c>
      <c r="L32" s="1" t="str">
        <v>Senior</v>
      </c>
      <c r="M32" s="1">
        <v>5049</v>
      </c>
      <c r="N32" s="1" t="str">
        <v>Operations</v>
      </c>
      <c r="O32" s="1">
        <v>8</v>
      </c>
      <c r="P32" s="1" t="str">
        <v>Assistant Manager</v>
      </c>
      <c r="Q32" s="1" t="str">
        <v>Manager</v>
      </c>
    </row>
    <row r="33" spans="1:17">
      <c r="A33" s="1">
        <v>1032</v>
      </c>
      <c r="B33" s="1" t="str">
        <v>Angela Hubbard</v>
      </c>
      <c r="C33" s="1" t="str">
        <v>Male</v>
      </c>
      <c r="D33" s="1">
        <v>32126</v>
      </c>
      <c r="E33" s="1" t="str">
        <v>0 Box 8694 APO A</v>
      </c>
      <c r="F33" s="1">
        <v>43765.7769791667</v>
      </c>
      <c r="G33" s="1">
        <v>6547096147</v>
      </c>
      <c r="H33" s="1" t="str">
        <v>yabbott@example.net</v>
      </c>
      <c r="I33" s="1" t="str">
        <v>Part-time</v>
      </c>
      <c r="J33" s="1" t="str">
        <v>Active</v>
      </c>
      <c r="K33" s="1">
        <v>46423.31</v>
      </c>
      <c r="L33" s="1" t="str">
        <v>Senior</v>
      </c>
      <c r="M33" s="1">
        <v>5043</v>
      </c>
      <c r="N33" s="1" t="str">
        <v>IT</v>
      </c>
      <c r="O33" s="1">
        <v>11</v>
      </c>
      <c r="P33" s="1" t="str">
        <v>Assistant Manager</v>
      </c>
      <c r="Q33" s="1" t="str">
        <v>Manager</v>
      </c>
    </row>
    <row r="34" spans="1:17">
      <c r="A34" s="1">
        <v>1033</v>
      </c>
      <c r="B34" s="1" t="str">
        <v>Keith Peters</v>
      </c>
      <c r="C34" s="1" t="str">
        <v>Female</v>
      </c>
      <c r="D34" s="1">
        <v>30997</v>
      </c>
      <c r="E34" s="1" t="str">
        <v>Mews Lake Brittne</v>
      </c>
      <c r="F34" s="1">
        <v>43774.8587384259</v>
      </c>
      <c r="G34" s="1">
        <v>59988526</v>
      </c>
      <c r="H34" s="1" t="str">
        <v>xevans@example.net</v>
      </c>
      <c r="I34" s="1" t="str">
        <v>Full-time</v>
      </c>
      <c r="J34" s="1" t="str">
        <v>Active</v>
      </c>
      <c r="K34" s="1">
        <v>105284.62</v>
      </c>
      <c r="L34" s="1" t="str">
        <v>Mid</v>
      </c>
      <c r="M34" s="1">
        <v>5024</v>
      </c>
      <c r="N34" s="1" t="str">
        <v>Operations</v>
      </c>
      <c r="O34" s="1">
        <v>12</v>
      </c>
      <c r="P34" s="1" t="str">
        <v>Delivery Driver</v>
      </c>
      <c r="Q34" s="1" t="str">
        <v>Non-Manager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H1" sqref="H1"/>
    </sheetView>
  </sheetViews>
  <sheetFormatPr defaultColWidth="8.72727272727273" defaultRowHeight="14.5" outlineLevelCol="4"/>
  <cols>
    <col min="1" max="1" width="8.09090909090909" style="1" customWidth="1"/>
    <col min="2" max="2" width="19.6363636363636" style="1" customWidth="1"/>
    <col min="3" max="3" width="20.5454545454545" style="1" customWidth="1"/>
    <col min="4" max="4" width="31" style="1" customWidth="1"/>
    <col min="5" max="5" width="14.5454545454545" style="1" customWidth="1"/>
    <col min="6" max="16384" width="8.72727272727273" style="1"/>
  </cols>
  <sheetData>
    <row r="1" spans="1:5">
      <c r="A1" s="1" t="str" cm="1">
        <f t="array" ref="A1:E34">_xlfn.CHOOSECOLS(Data!A1:Q34,1,2,7,8,6)</f>
        <v>Emp_ID</v>
      </c>
      <c r="B1" s="1" t="str">
        <v>Employee_name</v>
      </c>
      <c r="C1" s="1" t="str">
        <v>Emp_Mobile Number</v>
      </c>
      <c r="D1" s="1" t="str">
        <v>Employee_Email_ID</v>
      </c>
      <c r="E1" s="1" t="str">
        <v>Employee_DOJ</v>
      </c>
    </row>
    <row r="2" spans="1:5">
      <c r="A2" s="1">
        <v>1001</v>
      </c>
      <c r="B2" s="1" t="str">
        <v>Amy Peterson</v>
      </c>
      <c r="C2" s="1">
        <v>2315366229</v>
      </c>
      <c r="D2" s="1" t="str">
        <v>ricerandall@example.net</v>
      </c>
      <c r="E2" s="1">
        <v>43238.6900347222</v>
      </c>
    </row>
    <row r="3" spans="1:5">
      <c r="A3" s="1">
        <v>1002</v>
      </c>
      <c r="B3" s="1" t="str">
        <v>Karen Shepherd</v>
      </c>
      <c r="C3" s="1">
        <v>807886826</v>
      </c>
      <c r="D3" s="1" t="str">
        <v>timothynovak@example.net</v>
      </c>
      <c r="E3" s="1">
        <v>43245.9053356481</v>
      </c>
    </row>
    <row r="4" spans="1:5">
      <c r="A4" s="1">
        <v>1003</v>
      </c>
      <c r="B4" s="1" t="str">
        <v>Christopher Mendez</v>
      </c>
      <c r="C4" s="1">
        <v>5830455932</v>
      </c>
      <c r="D4" s="1" t="str">
        <v>brittany96@example.net</v>
      </c>
      <c r="E4" s="1">
        <v>43280.5286921296</v>
      </c>
    </row>
    <row r="5" spans="1:5">
      <c r="A5" s="1">
        <v>1004</v>
      </c>
      <c r="B5" s="1" t="str">
        <v>Clayton Torres</v>
      </c>
      <c r="C5" s="1">
        <v>6782478893</v>
      </c>
      <c r="D5" s="1" t="str">
        <v>bradfordrenee@example.net</v>
      </c>
      <c r="E5" s="1">
        <v>43288.2456481481</v>
      </c>
    </row>
    <row r="6" spans="1:5">
      <c r="A6" s="1">
        <v>1005</v>
      </c>
      <c r="B6" s="1" t="str">
        <v>Nicholas Jenkins</v>
      </c>
      <c r="C6" s="1">
        <v>7228707342</v>
      </c>
      <c r="D6" s="1" t="str">
        <v>lopezjacqueline@example.net</v>
      </c>
      <c r="E6" s="1">
        <v>43292.9588773148</v>
      </c>
    </row>
    <row r="7" spans="1:5">
      <c r="A7" s="1">
        <v>1006</v>
      </c>
      <c r="B7" s="1" t="str">
        <v>Miss Tammy Smith</v>
      </c>
      <c r="C7" s="1">
        <v>1154256848</v>
      </c>
      <c r="D7" s="1" t="str">
        <v>andrewthomas@example.com</v>
      </c>
      <c r="E7" s="1">
        <v>43299.3779976852</v>
      </c>
    </row>
    <row r="8" spans="1:5">
      <c r="A8" s="1">
        <v>1007</v>
      </c>
      <c r="B8" s="1" t="str">
        <v>Andres Simpson</v>
      </c>
      <c r="C8" s="1">
        <v>5043986660</v>
      </c>
      <c r="D8" s="1" t="str">
        <v>lunakaren@example.net</v>
      </c>
      <c r="E8" s="1">
        <v>43323.1121759259</v>
      </c>
    </row>
    <row r="9" spans="1:5">
      <c r="A9" s="1">
        <v>1008</v>
      </c>
      <c r="B9" s="1" t="str">
        <v>Barbara Brown</v>
      </c>
      <c r="C9" s="1">
        <v>7867038376</v>
      </c>
      <c r="D9" s="1" t="str">
        <v>dlflynn@example.org</v>
      </c>
      <c r="E9" s="1">
        <v>43326.062025463</v>
      </c>
    </row>
    <row r="10" spans="1:5">
      <c r="A10" s="1">
        <v>1009</v>
      </c>
      <c r="B10" s="1" t="str">
        <v>Julie Mcdaniel</v>
      </c>
      <c r="C10" s="1">
        <v>6433876874</v>
      </c>
      <c r="D10" s="1" t="str">
        <v>wilsonchristopher@example.org</v>
      </c>
      <c r="E10" s="1">
        <v>43348.7685532407</v>
      </c>
    </row>
    <row r="11" spans="1:5">
      <c r="A11" s="1">
        <v>1010</v>
      </c>
      <c r="B11" s="1" t="str">
        <v>Christopher Gross</v>
      </c>
      <c r="C11" s="1">
        <v>3403185699</v>
      </c>
      <c r="D11" s="1" t="str">
        <v>paul72@example.org</v>
      </c>
      <c r="E11" s="1">
        <v>43465.6445601852</v>
      </c>
    </row>
    <row r="12" spans="1:5">
      <c r="A12" s="1">
        <v>1011</v>
      </c>
      <c r="B12" s="1" t="str">
        <v>James Smith</v>
      </c>
      <c r="C12" s="1">
        <v>1066055070</v>
      </c>
      <c r="D12" s="1" t="str">
        <v>nortonbrian@example.net</v>
      </c>
      <c r="E12" s="1">
        <v>43504.0438657407</v>
      </c>
    </row>
    <row r="13" spans="1:5">
      <c r="A13" s="1">
        <v>1012</v>
      </c>
      <c r="B13" s="1" t="str">
        <v>Jason Johnson</v>
      </c>
      <c r="C13" s="1">
        <v>2202734249</v>
      </c>
      <c r="D13" s="1" t="str">
        <v>olloyd@example.org</v>
      </c>
      <c r="E13" s="1">
        <v>43504.0438657407</v>
      </c>
    </row>
    <row r="14" spans="1:5">
      <c r="A14" s="1">
        <v>1013</v>
      </c>
      <c r="B14" s="1" t="str">
        <v>Kathryn Bailey</v>
      </c>
      <c r="C14" s="1">
        <v>631476569</v>
      </c>
      <c r="D14" s="1" t="str">
        <v>smithkaren@example.com</v>
      </c>
      <c r="E14" s="1">
        <v>43540.0494097222</v>
      </c>
    </row>
    <row r="15" spans="1:5">
      <c r="A15" s="1">
        <v>1014</v>
      </c>
      <c r="B15" s="1" t="str">
        <v>Timothy Mueller</v>
      </c>
      <c r="C15" s="1">
        <v>7770838942</v>
      </c>
      <c r="D15" s="1" t="str">
        <v>tinawright@example.net</v>
      </c>
      <c r="E15" s="1">
        <v>43540.0494097222</v>
      </c>
    </row>
    <row r="16" spans="1:5">
      <c r="A16" s="1">
        <v>1015</v>
      </c>
      <c r="B16" s="1" t="str">
        <v>Miss Carrie Newton</v>
      </c>
      <c r="C16" s="1">
        <v>6141908454</v>
      </c>
      <c r="D16" s="1" t="str">
        <v>bradley00@example.com</v>
      </c>
      <c r="E16" s="1">
        <v>43546.5578935185</v>
      </c>
    </row>
    <row r="17" spans="1:5">
      <c r="A17" s="1">
        <v>1016</v>
      </c>
      <c r="B17" s="1" t="str">
        <v>Debbie Martinez</v>
      </c>
      <c r="C17" s="1">
        <v>7626001014</v>
      </c>
      <c r="D17" s="1" t="str">
        <v>hansenallison@example.com</v>
      </c>
      <c r="E17" s="1">
        <v>43546.5578935185</v>
      </c>
    </row>
    <row r="18" spans="1:5">
      <c r="A18" s="1">
        <v>1017</v>
      </c>
      <c r="B18" s="1" t="str">
        <v>Patricia Anderson</v>
      </c>
      <c r="C18" s="1">
        <v>9182980401</v>
      </c>
      <c r="D18" s="1" t="str">
        <v>nberg@example.org</v>
      </c>
      <c r="E18" s="1">
        <v>43553.1028240741</v>
      </c>
    </row>
    <row r="19" spans="1:5">
      <c r="A19" s="1">
        <v>1018</v>
      </c>
      <c r="B19" s="1" t="str">
        <v>Joshua Taylor</v>
      </c>
      <c r="C19" s="1">
        <v>6159074034</v>
      </c>
      <c r="D19" s="1" t="str">
        <v>vhill@example.net</v>
      </c>
      <c r="E19" s="1">
        <v>43553.1028240741</v>
      </c>
    </row>
    <row r="20" spans="1:5">
      <c r="A20" s="1">
        <v>1019</v>
      </c>
      <c r="B20" s="1" t="str">
        <v>Samantha Vasquez</v>
      </c>
      <c r="C20" s="1">
        <v>2035581905</v>
      </c>
      <c r="D20" s="1" t="str">
        <v>vlee@example.org</v>
      </c>
      <c r="E20" s="1">
        <v>43587.7382060185</v>
      </c>
    </row>
    <row r="21" spans="1:5">
      <c r="A21" s="1">
        <v>1020</v>
      </c>
      <c r="B21" s="1" t="str">
        <v>Mr Michael Scott</v>
      </c>
      <c r="C21" s="1">
        <v>8972603022</v>
      </c>
      <c r="D21" s="1" t="str">
        <v>blacknathaniel@example.org</v>
      </c>
      <c r="E21" s="1">
        <v>43587.7382060185</v>
      </c>
    </row>
    <row r="22" spans="1:5">
      <c r="A22" s="1">
        <v>1021</v>
      </c>
      <c r="B22" s="1" t="str">
        <v>Bianca Wong</v>
      </c>
      <c r="C22" s="1">
        <v>4554666927</v>
      </c>
      <c r="D22" s="1" t="str">
        <v>aaronhill@example.com</v>
      </c>
      <c r="E22" s="1">
        <v>43588.0078703704</v>
      </c>
    </row>
    <row r="23" spans="1:5">
      <c r="A23" s="1">
        <v>1022</v>
      </c>
      <c r="B23" s="1" t="str">
        <v>Willie Martinez</v>
      </c>
      <c r="C23" s="1">
        <v>8324142553</v>
      </c>
      <c r="D23" s="1" t="str">
        <v>davidjohnson@example.org</v>
      </c>
      <c r="E23" s="1">
        <v>43588.0078703704</v>
      </c>
    </row>
    <row r="24" spans="1:5">
      <c r="A24" s="1">
        <v>1023</v>
      </c>
      <c r="B24" s="1" t="str">
        <v>Tracey Gonzalez</v>
      </c>
      <c r="C24" s="1">
        <v>1071585188</v>
      </c>
      <c r="D24" s="1" t="str">
        <v>ana79@example.org</v>
      </c>
      <c r="E24" s="1">
        <v>43595.7052546296</v>
      </c>
    </row>
    <row r="25" spans="1:5">
      <c r="A25" s="1">
        <v>1024</v>
      </c>
      <c r="B25" s="1" t="str">
        <v>Jessica Lynch</v>
      </c>
      <c r="C25" s="1">
        <v>5491666826</v>
      </c>
      <c r="D25" s="1" t="str">
        <v>lewiseric@example.org</v>
      </c>
      <c r="E25" s="1">
        <v>43595.7052546296</v>
      </c>
    </row>
    <row r="26" spans="1:5">
      <c r="A26" s="1">
        <v>1025</v>
      </c>
      <c r="B26" s="1" t="str">
        <v>Autumn Murphy</v>
      </c>
      <c r="C26" s="1">
        <v>2138742087</v>
      </c>
      <c r="D26" s="1" t="str">
        <v>rhonda28@example.org</v>
      </c>
      <c r="E26" s="1">
        <v>43636.1829976852</v>
      </c>
    </row>
    <row r="27" spans="1:5">
      <c r="A27" s="1">
        <v>1026</v>
      </c>
      <c r="B27" s="1" t="str">
        <v>Andrea Gonzalez</v>
      </c>
      <c r="C27" s="1">
        <v>9277483782</v>
      </c>
      <c r="D27" s="1" t="str">
        <v>beckerrebecca@example.org</v>
      </c>
      <c r="E27" s="1">
        <v>43638.1519675926</v>
      </c>
    </row>
    <row r="28" spans="1:5">
      <c r="A28" s="1">
        <v>1027</v>
      </c>
      <c r="B28" s="1" t="str">
        <v>Sarah Griffin</v>
      </c>
      <c r="C28" s="1">
        <v>6509482537</v>
      </c>
      <c r="D28" s="1" t="str">
        <v>jschneider@example.net</v>
      </c>
      <c r="E28" s="1">
        <v>43649.9498148148</v>
      </c>
    </row>
    <row r="29" spans="1:5">
      <c r="A29" s="1">
        <v>1028</v>
      </c>
      <c r="B29" s="1" t="str">
        <v>Kent Brown</v>
      </c>
      <c r="C29" s="1">
        <v>1336383965</v>
      </c>
      <c r="D29" s="1" t="str">
        <v>richardklein@example.org</v>
      </c>
      <c r="E29" s="1">
        <v>43652.9415625</v>
      </c>
    </row>
    <row r="30" spans="1:5">
      <c r="A30" s="1">
        <v>1029</v>
      </c>
      <c r="B30" s="1" t="str">
        <v>Donna Garcia</v>
      </c>
      <c r="C30" s="1">
        <v>2147417355</v>
      </c>
      <c r="D30" s="1" t="str">
        <v>ndavis@example.net</v>
      </c>
      <c r="E30" s="1">
        <v>43702.2830208333</v>
      </c>
    </row>
    <row r="31" spans="1:5">
      <c r="A31" s="1">
        <v>1030</v>
      </c>
      <c r="B31" s="1" t="str">
        <v>Brian Mitchell</v>
      </c>
      <c r="C31" s="1">
        <v>7308135189</v>
      </c>
      <c r="D31" s="1" t="str">
        <v>maryvelez@example.com</v>
      </c>
      <c r="E31" s="1">
        <v>43714.9755671296</v>
      </c>
    </row>
    <row r="32" spans="1:5">
      <c r="A32" s="1">
        <v>1031</v>
      </c>
      <c r="B32" s="1" t="str">
        <v>Michael Foster</v>
      </c>
      <c r="C32" s="1">
        <v>591725049</v>
      </c>
      <c r="D32" s="1" t="str">
        <v>reneebranch@example.com</v>
      </c>
      <c r="E32" s="1">
        <v>43756.4270138889</v>
      </c>
    </row>
    <row r="33" spans="1:5">
      <c r="A33" s="1">
        <v>1032</v>
      </c>
      <c r="B33" s="1" t="str">
        <v>Angela Hubbard</v>
      </c>
      <c r="C33" s="1">
        <v>6547096147</v>
      </c>
      <c r="D33" s="1" t="str">
        <v>yabbott@example.net</v>
      </c>
      <c r="E33" s="1">
        <v>43765.7769791667</v>
      </c>
    </row>
    <row r="34" spans="1:5">
      <c r="A34" s="1">
        <v>1033</v>
      </c>
      <c r="B34" s="1" t="str">
        <v>Keith Peters</v>
      </c>
      <c r="C34" s="1">
        <v>59988526</v>
      </c>
      <c r="D34" s="1" t="str">
        <v>xevans@example.net</v>
      </c>
      <c r="E34" s="1">
        <v>43774.8587384259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A14" sqref="A14"/>
    </sheetView>
  </sheetViews>
  <sheetFormatPr defaultColWidth="8.72727272727273" defaultRowHeight="14.5" outlineLevelRow="5"/>
  <cols>
    <col min="1" max="1" width="8.09090909090909" style="1" customWidth="1"/>
    <col min="2" max="2" width="18.8181818181818" style="1" customWidth="1"/>
    <col min="3" max="3" width="17.8181818181818" style="1" customWidth="1"/>
    <col min="4" max="4" width="15.0909090909091" style="1" customWidth="1"/>
    <col min="5" max="5" width="18.1818181818182" style="1" customWidth="1"/>
    <col min="6" max="6" width="14.5454545454545" style="1" customWidth="1"/>
    <col min="7" max="7" width="20.5454545454545" style="1" customWidth="1"/>
    <col min="8" max="8" width="28" style="1" customWidth="1"/>
    <col min="9" max="9" width="18" style="1" customWidth="1"/>
    <col min="10" max="10" width="29.4545454545455" style="1" customWidth="1"/>
    <col min="11" max="11" width="20.6363636363636" style="1" customWidth="1"/>
    <col min="12" max="12" width="17.8181818181818" style="1" customWidth="1"/>
    <col min="13" max="13" width="22.1818181818182" style="1" customWidth="1"/>
    <col min="14" max="14" width="11.9090909090909" style="1" customWidth="1"/>
    <col min="15" max="15" width="10.2727272727273" style="1" customWidth="1"/>
    <col min="16" max="16" width="17.8181818181818" style="1" customWidth="1"/>
    <col min="17" max="17" width="27.4545454545455" style="1" customWidth="1"/>
    <col min="18" max="16384" width="8.72727272727273" style="1"/>
  </cols>
  <sheetData>
    <row r="1" spans="1:17">
      <c r="A1" s="1" t="str" cm="1">
        <f t="array" ref="A1:Q6">_xlfn.CHOOSEROWS(Data!A1:Q34,1,11,12,15,16,17)</f>
        <v>Emp_ID</v>
      </c>
      <c r="B1" s="1" t="str">
        <v>Employee_name</v>
      </c>
      <c r="C1" s="1" t="str">
        <v>Employee_Gender</v>
      </c>
      <c r="D1" s="1" t="str">
        <v>Employee_DOB</v>
      </c>
      <c r="E1" s="1" t="str">
        <v>Employee_address</v>
      </c>
      <c r="F1" s="1" t="str">
        <v>Employee_DOJ</v>
      </c>
      <c r="G1" s="1" t="str">
        <v>Emp_Mobile Number</v>
      </c>
      <c r="H1" s="1" t="str">
        <v>Employee_Email_ID</v>
      </c>
      <c r="I1" s="1" t="str">
        <v>Employment_Type</v>
      </c>
      <c r="J1" s="1" t="str">
        <v>Employee_Employment_status</v>
      </c>
      <c r="K1" s="1" t="str">
        <v>Current_Annual_Cost</v>
      </c>
      <c r="L1" s="1" t="str">
        <v>Employment_level</v>
      </c>
      <c r="M1" s="1" t="str">
        <v>Reporting_manager_ID</v>
      </c>
      <c r="N1" s="1" t="str">
        <v>Department</v>
      </c>
      <c r="O1" s="1" t="str">
        <v>Branch_ID</v>
      </c>
      <c r="P1" s="1" t="str">
        <v>Job_Title</v>
      </c>
      <c r="Q1" s="1" t="str">
        <v>Manager_Non_Manager_tag</v>
      </c>
    </row>
    <row r="2" spans="1:17">
      <c r="A2" s="1">
        <v>1010</v>
      </c>
      <c r="B2" s="1" t="str">
        <v>Christopher Gross</v>
      </c>
      <c r="C2" s="1" t="str">
        <v>Male</v>
      </c>
      <c r="D2" s="1">
        <v>30535</v>
      </c>
      <c r="E2" s="1" t="str">
        <v>3 Box 1167 APO A</v>
      </c>
      <c r="F2" s="1">
        <v>43465.6445601852</v>
      </c>
      <c r="G2" s="1">
        <v>3403185699</v>
      </c>
      <c r="H2" s="1" t="str">
        <v>paul72@example.org</v>
      </c>
      <c r="I2" s="1" t="str">
        <v>Part-time</v>
      </c>
      <c r="J2" s="1" t="str">
        <v>Active</v>
      </c>
      <c r="K2" s="1">
        <v>88476.04</v>
      </c>
      <c r="L2" s="1" t="str">
        <v>Mid</v>
      </c>
      <c r="M2" s="1">
        <v>5044</v>
      </c>
      <c r="N2" s="1" t="str">
        <v>IT</v>
      </c>
      <c r="O2" s="1">
        <v>5</v>
      </c>
      <c r="P2" s="1" t="str">
        <v>Delivery Driver</v>
      </c>
      <c r="Q2" s="1" t="str">
        <v>Non-Manager</v>
      </c>
    </row>
    <row r="3" spans="1:17">
      <c r="A3" s="1">
        <v>1011</v>
      </c>
      <c r="B3" s="1" t="str">
        <v>James Smith</v>
      </c>
      <c r="C3" s="1" t="str">
        <v>Female</v>
      </c>
      <c r="D3" s="1">
        <v>37237</v>
      </c>
      <c r="E3" s="1" t="str">
        <v>res Suite 757 Nicho</v>
      </c>
      <c r="F3" s="1">
        <v>43504.0438657407</v>
      </c>
      <c r="G3" s="1">
        <v>1066055070</v>
      </c>
      <c r="H3" s="1" t="str">
        <v>nortonbrian@example.net</v>
      </c>
      <c r="I3" s="1" t="str">
        <v>Contract</v>
      </c>
      <c r="J3" s="1" t="str">
        <v>Active</v>
      </c>
      <c r="K3" s="1">
        <v>139423.85</v>
      </c>
      <c r="L3" s="1" t="str">
        <v>Entry</v>
      </c>
      <c r="M3" s="1">
        <v>5004</v>
      </c>
      <c r="N3" s="1" t="str">
        <v>Sales</v>
      </c>
      <c r="O3" s="1">
        <v>14</v>
      </c>
      <c r="P3" s="1" t="str">
        <v>Manager</v>
      </c>
      <c r="Q3" s="1" t="str">
        <v>Manager</v>
      </c>
    </row>
    <row r="4" spans="1:17">
      <c r="A4" s="1">
        <v>1014</v>
      </c>
      <c r="B4" s="1" t="str">
        <v>Timothy Mueller</v>
      </c>
      <c r="C4" s="1" t="str">
        <v>Female</v>
      </c>
      <c r="D4" s="1" t="str">
        <v>3/26/1991</v>
      </c>
      <c r="E4" s="1" t="str">
        <v>Island North Jonat</v>
      </c>
      <c r="F4" s="1">
        <v>43540.0494097222</v>
      </c>
      <c r="G4" s="1">
        <v>7770838942</v>
      </c>
      <c r="H4" s="1" t="str">
        <v>tinawright@example.net</v>
      </c>
      <c r="I4" s="1" t="str">
        <v>Part-time</v>
      </c>
      <c r="J4" s="1" t="str">
        <v>Inactive</v>
      </c>
      <c r="K4" s="1">
        <v>58175</v>
      </c>
      <c r="L4" s="1" t="str">
        <v>Entry</v>
      </c>
      <c r="M4" s="1">
        <v>5029</v>
      </c>
      <c r="N4" s="1" t="str">
        <v>Finance</v>
      </c>
      <c r="O4" s="1">
        <v>4</v>
      </c>
      <c r="P4" s="1" t="str">
        <v>Delivery Driver</v>
      </c>
      <c r="Q4" s="1" t="str">
        <v>Non-Manager</v>
      </c>
    </row>
    <row r="5" spans="1:17">
      <c r="A5" s="1">
        <v>1015</v>
      </c>
      <c r="B5" s="1" t="str">
        <v>Miss Carrie Newton</v>
      </c>
      <c r="C5" s="1" t="str">
        <v>Male</v>
      </c>
      <c r="D5" s="1">
        <v>32366</v>
      </c>
      <c r="E5" s="1" t="str">
        <v>ns Suite 082 Aman</v>
      </c>
      <c r="F5" s="1">
        <v>43546.5578935185</v>
      </c>
      <c r="G5" s="1">
        <v>6141908454</v>
      </c>
      <c r="H5" s="1" t="str">
        <v>bradley00@example.com</v>
      </c>
      <c r="I5" s="1" t="str">
        <v>Full-time</v>
      </c>
      <c r="J5" s="1" t="str">
        <v>Inactive</v>
      </c>
      <c r="K5" s="1">
        <v>37979.62</v>
      </c>
      <c r="L5" s="1" t="str">
        <v>Senior</v>
      </c>
      <c r="M5" s="1">
        <v>5010</v>
      </c>
      <c r="N5" s="1" t="str">
        <v>HR</v>
      </c>
      <c r="O5" s="1">
        <v>9</v>
      </c>
      <c r="P5" s="1" t="str">
        <v>Manager</v>
      </c>
      <c r="Q5" s="1" t="str">
        <v>Manager</v>
      </c>
    </row>
    <row r="6" spans="1:17">
      <c r="A6" s="1">
        <v>1016</v>
      </c>
      <c r="B6" s="1" t="str">
        <v>Debbie Martinez</v>
      </c>
      <c r="C6" s="1" t="str">
        <v>Male</v>
      </c>
      <c r="D6" s="1">
        <v>32445</v>
      </c>
      <c r="E6" s="1" t="str">
        <v>nk Burg West Larry</v>
      </c>
      <c r="F6" s="1">
        <v>43546.5578935185</v>
      </c>
      <c r="G6" s="1">
        <v>7626001014</v>
      </c>
      <c r="H6" s="1" t="str">
        <v>hansenallison@example.com</v>
      </c>
      <c r="I6" s="1" t="str">
        <v>Full-time</v>
      </c>
      <c r="J6" s="1" t="str">
        <v>Inactive</v>
      </c>
      <c r="K6" s="1">
        <v>74692.7</v>
      </c>
      <c r="L6" s="1" t="str">
        <v>Lead</v>
      </c>
      <c r="M6" s="1">
        <v>5035</v>
      </c>
      <c r="N6" s="1" t="str">
        <v>Sales</v>
      </c>
      <c r="O6" s="1">
        <v>19</v>
      </c>
      <c r="P6" s="1" t="str">
        <v>Assistant Manager</v>
      </c>
      <c r="Q6" s="1" t="str">
        <v>Manager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GroupBy</vt:lpstr>
      <vt:lpstr>ToCol</vt:lpstr>
      <vt:lpstr>ToRow</vt:lpstr>
      <vt:lpstr>VStack</vt:lpstr>
      <vt:lpstr>HSTACK</vt:lpstr>
      <vt:lpstr>Data</vt:lpstr>
      <vt:lpstr>Take</vt:lpstr>
      <vt:lpstr>Drop</vt:lpstr>
      <vt:lpstr>choosecol</vt:lpstr>
      <vt:lpstr>ChooseRow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jhaji</dc:creator>
  <cp:lastModifiedBy>WPS_1787045862</cp:lastModifiedBy>
  <dcterms:created xsi:type="dcterms:W3CDTF">2026-10-24T14:20:00Z</dcterms:created>
  <dcterms:modified xsi:type="dcterms:W3CDTF">2026-10-25T09:33:04Z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A0BD76CDAD32478BAACC5FF291668F9B_11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