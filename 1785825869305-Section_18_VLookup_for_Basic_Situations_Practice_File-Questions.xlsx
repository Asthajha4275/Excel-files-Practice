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00" firstSheet="3" activeTab="7"/>
  </bookViews>
  <sheets>
    <sheet name="Vlookup_1" sheetId="15" r:id="rId1"/>
    <sheet name="Vlookup_2" sheetId="23" r:id="rId2"/>
    <sheet name="Employee_Data" sheetId="37" r:id="rId3"/>
    <sheet name="Vlookup_3" sheetId="35" r:id="rId4"/>
    <sheet name="Vlookup4" sheetId="36" r:id="rId5"/>
    <sheet name="Performance data" sheetId="38" r:id="rId6"/>
    <sheet name="Index and Match" sheetId="39" r:id="rId7"/>
    <sheet name="XLOOKUP" sheetId="40" r:id="rId8"/>
  </sheets>
  <definedNames>
    <definedName name="_xlnm._FilterDatabase" localSheetId="0" hidden="1">Vlookup_1!$B$4:$E$16</definedName>
    <definedName name="Z_04B54AA8_A716_4FDC_A906_0E283DD373E2_.wvu.FilterData" localSheetId="0" hidden="1">Vlookup_1!$B$4:$E$16</definedName>
    <definedName name="Z_6A35FF51_71B2_4793_9150_7D8C799041DC_.wvu.FilterData" localSheetId="0" hidden="1">Vlookup_1!$B$4:$E$16</definedName>
    <definedName name="Z_6F539EE7_61A2_4CDA_91FB_DD74C23C05CB_.wvu.FilterData" localSheetId="0" hidden="1">Vlookup_1!$B$4:$E$16</definedName>
    <definedName name="Z_714C269F_57A5_4954_8C62_CB87ECDF1E8D_.wvu.FilterData" localSheetId="0" hidden="1">Vlookup_1!$B$4:$E$16</definedName>
    <definedName name="Z_7B542DDE_0E6F_4C8F_80C5_CEF010784732_.wvu.FilterData" localSheetId="0" hidden="1">Vlookup_1!$B$4:$E$16</definedName>
    <definedName name="Z_8075095C_49D4_4A6A_AE11_97381CE6959D_.wvu.FilterData" localSheetId="0" hidden="1">Vlookup_1!$B$4:$E$16</definedName>
    <definedName name="Z_923C6DCC_F5BE_4CA9_A182_DDE75F299178_.wvu.FilterData" localSheetId="0" hidden="1">Vlookup_1!$B$4:$E$16</definedName>
    <definedName name="Z_A9A39E8B_D628_4F43_9435_5AAF5C71CAA0_.wvu.FilterData" localSheetId="0" hidden="1">Vlookup_1!$B$4:$E$16</definedName>
    <definedName name="Z_B479311F_4F86_42B7_BF79_621EA6E9FB08_.wvu.FilterData" localSheetId="0" hidden="1">Vlookup_1!$B$4:$E$16</definedName>
    <definedName name="Z_C07F01D7_3CE0_47DE_B5E8_478D6A23D3E2_.wvu.FilterData" localSheetId="0" hidden="1">Vlookup_1!$B$4:$E$16</definedName>
    <definedName name="Z_DDB4D3BD_A3A8_4E7D_B59C_2686AEBFE3F0_.wvu.FilterData" localSheetId="0" hidden="1">Vlookup_1!$B$4:$E$16</definedName>
    <definedName name="_xlnm._FilterDatabase" localSheetId="6" hidden="1">'Index and Match'!$F$4:$F$54</definedName>
  </definedNames>
  <calcPr calcId="191029"/>
  <customWorkbookViews>
    <customWorkbookView name="vlookup1" guid="{FCA32F5E-79CF-42CC-B015-2CE7C7FCA9AA}" includePrintSettings="0" includeHiddenRowCol="0" maximized="1" xWindow="-8" yWindow="-8" windowWidth="1382" windowHeight="784" activeSheetId="15"/>
    <customWorkbookView name="vlookup2" guid="{04B54AA8-A716-4FDC-A906-0E283DD373E2}" maximized="1" xWindow="-8" yWindow="-8" windowWidth="1382" windowHeight="784" activeSheetId="15"/>
    <customWorkbookView name="vlookup3" guid="{7B542DDE-0E6F-4C8F-80C5-CEF010784732}" maximized="1" xWindow="-8" yWindow="-8" windowWidth="1382" windowHeight="784" activeSheetId="15"/>
    <customWorkbookView name="vlookup4" guid="{6F539EE7-61A2-4CDA-91FB-DD74C23C05CB}" maximized="1" xWindow="-8" yWindow="-8" windowWidth="1382" windowHeight="784" activeSheetId="15"/>
    <customWorkbookView name="vlookup" guid="{923C6DCC-F5BE-4CA9-A182-DDE75F299178}" maximized="1" xWindow="-8" yWindow="-8" windowWidth="1382" windowHeight="784" activeSheetId="23"/>
    <customWorkbookView name="vlookup5" guid="{6A35FF51-71B2-4793-9150-7D8C799041DC}" maximized="1" xWindow="-8" yWindow="-8" windowWidth="1382" windowHeight="784" activeSheetId="23"/>
    <customWorkbookView name="vlookup6" guid="{C07F01D7-3CE0-47DE-B5E8-478D6A23D3E2}" maximized="1" xWindow="-8" yWindow="-8" windowWidth="1382" windowHeight="784" activeSheetId="23"/>
    <customWorkbookView name="vlookup8" guid="{714C269F-57A5-4954-8C62-CB87ECDF1E8D}" maximized="1" xWindow="-8" yWindow="-8" windowWidth="1382" windowHeight="784" activeSheetId="35"/>
    <customWorkbookView name="vlookup9" guid="{A9A39E8B-D628-4F43-9435-5AAF5C71CAA0}" maximized="1" xWindow="-8" yWindow="-8" windowWidth="1382" windowHeight="784" activeSheetId="35"/>
    <customWorkbookView name="vlookup7" guid="{8075095C-49D4-4A6A-AE11-97381CE6959D}" maximized="1" xWindow="-8" yWindow="-8" windowWidth="1382" windowHeight="784" activeSheetId="23"/>
    <customWorkbookView name="vlookup10" guid="{B479311F-4F86-42B7-BF79-621EA6E9FB08}" maximized="1" xWindow="-8" yWindow="-8" windowWidth="1382" windowHeight="784" activeSheetId="36"/>
    <customWorkbookView name="vlookup11" guid="{DDB4D3BD-A3A8-4E7D-B59C-2686AEBFE3F0}" maximized="1" xWindow="-8" yWindow="-8" windowWidth="1382" windowHeight="784" activeSheetId="3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<sst xmlns="http://schemas.openxmlformats.org/spreadsheetml/2006/main" count="759" uniqueCount="286">
  <si>
    <t>Final Data</t>
  </si>
  <si>
    <t>Vendor Data</t>
  </si>
  <si>
    <t>Fruit Name</t>
  </si>
  <si>
    <t>Price</t>
  </si>
  <si>
    <t>Vendor</t>
  </si>
  <si>
    <t>Purchase Month</t>
  </si>
  <si>
    <t>Apple</t>
  </si>
  <si>
    <t>Amazon</t>
  </si>
  <si>
    <t>Jan</t>
  </si>
  <si>
    <t>Orange</t>
  </si>
  <si>
    <t>Kiwi</t>
  </si>
  <si>
    <t>BigBasket</t>
  </si>
  <si>
    <t>Feb</t>
  </si>
  <si>
    <t>Grapes</t>
  </si>
  <si>
    <t>Walmart</t>
  </si>
  <si>
    <t>Mar</t>
  </si>
  <si>
    <t>Pineapple</t>
  </si>
  <si>
    <t>Banana</t>
  </si>
  <si>
    <t>Collect all the Vendor Information for each fruit  in one Table</t>
  </si>
  <si>
    <t>Jul</t>
  </si>
  <si>
    <t>Collect all the Purchase Information for each fruit in one Table</t>
  </si>
  <si>
    <t>It doesn't work right to left.</t>
  </si>
  <si>
    <t>its work left to right.</t>
  </si>
  <si>
    <t>Price Data</t>
  </si>
  <si>
    <t>How</t>
  </si>
  <si>
    <t>Cash</t>
  </si>
  <si>
    <t>Card</t>
  </si>
  <si>
    <t>Lyft</t>
  </si>
  <si>
    <t>DoorDash</t>
  </si>
  <si>
    <t>Google</t>
  </si>
  <si>
    <t>Figure out the Purchase month info onto Final Table</t>
  </si>
  <si>
    <t>Purchase Type</t>
  </si>
  <si>
    <t>Collect Purchase type Info onto the Final Data</t>
  </si>
  <si>
    <t>PersonName</t>
  </si>
  <si>
    <t>Date of Birth</t>
  </si>
  <si>
    <t>Pocket Money</t>
  </si>
  <si>
    <t>Year of Birth</t>
  </si>
  <si>
    <t>Pocket Money Limit</t>
  </si>
  <si>
    <t>Mike</t>
  </si>
  <si>
    <t>Clark</t>
  </si>
  <si>
    <t>Cornell</t>
  </si>
  <si>
    <t>Trent</t>
  </si>
  <si>
    <t>Anderson</t>
  </si>
  <si>
    <t>Neo</t>
  </si>
  <si>
    <t>Find out the Pocket money limit for each person's Date of Birth.</t>
  </si>
  <si>
    <t>Kylie</t>
  </si>
  <si>
    <t>Jimmy</t>
  </si>
  <si>
    <t>Thor</t>
  </si>
  <si>
    <t>Jane</t>
  </si>
  <si>
    <t>Zeus</t>
  </si>
  <si>
    <t>Herald</t>
  </si>
  <si>
    <t>Joining Date</t>
  </si>
  <si>
    <t>Bonus Amount</t>
  </si>
  <si>
    <t>Date of Joining</t>
  </si>
  <si>
    <t>Details of Joining Date and Bonus Amount is in "Employee Data" Sheet</t>
  </si>
  <si>
    <t>Dress Type</t>
  </si>
  <si>
    <t>Dress Size</t>
  </si>
  <si>
    <t>Actual Price</t>
  </si>
  <si>
    <t>Profit Amount</t>
  </si>
  <si>
    <t>Profit %</t>
  </si>
  <si>
    <t>Shirt</t>
  </si>
  <si>
    <t>S</t>
  </si>
  <si>
    <t>Small</t>
  </si>
  <si>
    <t>Pants</t>
  </si>
  <si>
    <t>Medium</t>
  </si>
  <si>
    <t>M</t>
  </si>
  <si>
    <t>Large</t>
  </si>
  <si>
    <t>Extra Large</t>
  </si>
  <si>
    <t>L</t>
  </si>
  <si>
    <t>Find the Profit Amount for Each Dress Size</t>
  </si>
  <si>
    <t>Margin Remarks</t>
  </si>
  <si>
    <t>Shirts have less Margin</t>
  </si>
  <si>
    <t>Pants have higher Margin</t>
  </si>
  <si>
    <t>Find the Profit Amount for Each Dress Type</t>
  </si>
  <si>
    <t>Tip: Use Wild Cards</t>
  </si>
  <si>
    <t>Student</t>
  </si>
  <si>
    <t>Score</t>
  </si>
  <si>
    <t>Grade</t>
  </si>
  <si>
    <t>Minimum Marks</t>
  </si>
  <si>
    <t>Kom</t>
  </si>
  <si>
    <t>Grade "E"</t>
  </si>
  <si>
    <t>Kyle</t>
  </si>
  <si>
    <t>Grade "D"</t>
  </si>
  <si>
    <t>Samant</t>
  </si>
  <si>
    <t>Grade "C"</t>
  </si>
  <si>
    <t>Tammanah</t>
  </si>
  <si>
    <t>Grade "B"</t>
  </si>
  <si>
    <t>Muhib</t>
  </si>
  <si>
    <t>Grade "A"</t>
  </si>
  <si>
    <t>Sadhvi</t>
  </si>
  <si>
    <t>Tom</t>
  </si>
  <si>
    <t>Karen</t>
  </si>
  <si>
    <t>Eminem</t>
  </si>
  <si>
    <t>Tamizh</t>
  </si>
  <si>
    <t>Agent</t>
  </si>
  <si>
    <t>Jan Sales</t>
  </si>
  <si>
    <t>Feb Sales</t>
  </si>
  <si>
    <t>Commision for Jan</t>
  </si>
  <si>
    <t>Commision for Feb</t>
  </si>
  <si>
    <t>Sale Value</t>
  </si>
  <si>
    <t>Commission %</t>
  </si>
  <si>
    <t>Create a Commision Amount List with the help of the Slab on the right side</t>
  </si>
  <si>
    <t>Employee ID</t>
  </si>
  <si>
    <t>Employee Name</t>
  </si>
  <si>
    <t>Region</t>
  </si>
  <si>
    <t>Product Category</t>
  </si>
  <si>
    <t>Units Sold</t>
  </si>
  <si>
    <t>Gross Sales</t>
  </si>
  <si>
    <t>Refunds</t>
  </si>
  <si>
    <t>Cost of Goods</t>
  </si>
  <si>
    <t>Net Sales</t>
  </si>
  <si>
    <t>Gross Profit</t>
  </si>
  <si>
    <t>Profit Margin</t>
  </si>
  <si>
    <t>EMP001</t>
  </si>
  <si>
    <t>James Mitchell</t>
  </si>
  <si>
    <t>North</t>
  </si>
  <si>
    <t>Accessories</t>
  </si>
  <si>
    <t>EMP002</t>
  </si>
  <si>
    <t>Maria Martinez</t>
  </si>
  <si>
    <t>West</t>
  </si>
  <si>
    <t>Women's Casualwear</t>
  </si>
  <si>
    <t>EMP003</t>
  </si>
  <si>
    <t>David Collins</t>
  </si>
  <si>
    <t>East</t>
  </si>
  <si>
    <t>Men's Casualwear</t>
  </si>
  <si>
    <t>EMP004</t>
  </si>
  <si>
    <t>Sarah Thompson</t>
  </si>
  <si>
    <t>South</t>
  </si>
  <si>
    <t>Footwear</t>
  </si>
  <si>
    <t>EMP005</t>
  </si>
  <si>
    <t>Michael Evans</t>
  </si>
  <si>
    <t>Activewear</t>
  </si>
  <si>
    <t>EMP006</t>
  </si>
  <si>
    <t>Priya White</t>
  </si>
  <si>
    <t>Central</t>
  </si>
  <si>
    <t>EMP007</t>
  </si>
  <si>
    <t>Wei Roberts</t>
  </si>
  <si>
    <t>EMP008</t>
  </si>
  <si>
    <t>Carlos Carter</t>
  </si>
  <si>
    <t>EMP009</t>
  </si>
  <si>
    <t>Emma Nguyen</t>
  </si>
  <si>
    <t>Kids Wear</t>
  </si>
  <si>
    <t>EMP010</t>
  </si>
  <si>
    <t>Liam Edwards</t>
  </si>
  <si>
    <t>EMP011</t>
  </si>
  <si>
    <t>Olivia Brown</t>
  </si>
  <si>
    <t>EMP012</t>
  </si>
  <si>
    <t>Noah Clark</t>
  </si>
  <si>
    <t>EMP013</t>
  </si>
  <si>
    <t>Ava Taylor</t>
  </si>
  <si>
    <t>EMP014</t>
  </si>
  <si>
    <t>Ethan Miller</t>
  </si>
  <si>
    <t>EMP015</t>
  </si>
  <si>
    <t>Sophia Anderson</t>
  </si>
  <si>
    <t>EMP016</t>
  </si>
  <si>
    <t>Daniel Phillips</t>
  </si>
  <si>
    <t>EMP017</t>
  </si>
  <si>
    <t>Mia Rodriguez</t>
  </si>
  <si>
    <t>EMP018</t>
  </si>
  <si>
    <t>Matthew Campbell</t>
  </si>
  <si>
    <t>EMP019</t>
  </si>
  <si>
    <t>Isabella Walker</t>
  </si>
  <si>
    <t>EMP020</t>
  </si>
  <si>
    <t>Lucas Martin</t>
  </si>
  <si>
    <t>EMP021</t>
  </si>
  <si>
    <t>Aiden Jackson</t>
  </si>
  <si>
    <t>EMP022</t>
  </si>
  <si>
    <t>Grace Stewart</t>
  </si>
  <si>
    <t>EMP023</t>
  </si>
  <si>
    <t>Henry Flores</t>
  </si>
  <si>
    <t>EMP024</t>
  </si>
  <si>
    <t>Chloe Perez</t>
  </si>
  <si>
    <t>EMP025</t>
  </si>
  <si>
    <t>Jack Moore</t>
  </si>
  <si>
    <t>EMP026</t>
  </si>
  <si>
    <t>Zoe Harris</t>
  </si>
  <si>
    <t>EMP027</t>
  </si>
  <si>
    <t>Ryan Robinson</t>
  </si>
  <si>
    <t>EMP028</t>
  </si>
  <si>
    <t>Lily Thomas</t>
  </si>
  <si>
    <t>EMP029</t>
  </si>
  <si>
    <t>Nathan Wright</t>
  </si>
  <si>
    <t>EMP030</t>
  </si>
  <si>
    <t>Hannah Nelson</t>
  </si>
  <si>
    <t>EMP031</t>
  </si>
  <si>
    <t>Arjun Parker</t>
  </si>
  <si>
    <t>EMP032</t>
  </si>
  <si>
    <t>Fatima Green</t>
  </si>
  <si>
    <t>EMP033</t>
  </si>
  <si>
    <t>Ahmed Torres</t>
  </si>
  <si>
    <t>EMP034</t>
  </si>
  <si>
    <t>Yuki Turner</t>
  </si>
  <si>
    <t>EMP035</t>
  </si>
  <si>
    <t>Diego Smith</t>
  </si>
  <si>
    <t>EMP036</t>
  </si>
  <si>
    <t>Anna Wilson</t>
  </si>
  <si>
    <t>EMP037</t>
  </si>
  <si>
    <t>Sam Johnson</t>
  </si>
  <si>
    <t>EMP038</t>
  </si>
  <si>
    <t>Nora Young</t>
  </si>
  <si>
    <t>EMP039</t>
  </si>
  <si>
    <t>Leo Williams</t>
  </si>
  <si>
    <t>EMP040</t>
  </si>
  <si>
    <t>Ella Allen</t>
  </si>
  <si>
    <t>EMP041</t>
  </si>
  <si>
    <t>Omar Hall</t>
  </si>
  <si>
    <t>EMP042</t>
  </si>
  <si>
    <t>Ines Hill</t>
  </si>
  <si>
    <t>EMP043</t>
  </si>
  <si>
    <t>Karan Garcia</t>
  </si>
  <si>
    <t>EMP044</t>
  </si>
  <si>
    <t>Sofia Lewis</t>
  </si>
  <si>
    <t>EMP045</t>
  </si>
  <si>
    <t>Marcus Baker</t>
  </si>
  <si>
    <t>EMP046</t>
  </si>
  <si>
    <t>Julia Scott</t>
  </si>
  <si>
    <t>EMP047</t>
  </si>
  <si>
    <t>Ben Adams</t>
  </si>
  <si>
    <t>EMP048</t>
  </si>
  <si>
    <t>Tara King</t>
  </si>
  <si>
    <t>EMP049</t>
  </si>
  <si>
    <t>Rahul Verma</t>
  </si>
  <si>
    <t>EMP050</t>
  </si>
  <si>
    <t>Sara Khan</t>
  </si>
  <si>
    <t>Employee Lookup — built with INDEX + MATCH</t>
  </si>
  <si>
    <t>Type an Employee ID into the yellow cell to pull their stats from 'Performance Data'.</t>
  </si>
  <si>
    <t>Enter Employee ID:</t>
  </si>
  <si>
    <t>Search value</t>
  </si>
  <si>
    <t>Row value</t>
  </si>
  <si>
    <t>Column value</t>
  </si>
  <si>
    <t>Gross Sales ($)</t>
  </si>
  <si>
    <t>Refunds ($)</t>
  </si>
  <si>
    <t>Net Sales ($)</t>
  </si>
  <si>
    <t>Profit Margin (%)</t>
  </si>
  <si>
    <t>Bonus — pick any field by name (INDEX/MATCH across rows AND columns):</t>
  </si>
  <si>
    <t>Pick a field name:</t>
  </si>
  <si>
    <t>Result:</t>
  </si>
  <si>
    <t>Top performer by Net Sales:</t>
  </si>
  <si>
    <t>Purchase Data</t>
  </si>
  <si>
    <t>S.No</t>
  </si>
  <si>
    <t>fruits</t>
  </si>
  <si>
    <t>Store Purchased</t>
  </si>
  <si>
    <t>Amount</t>
  </si>
  <si>
    <t>No of Days in Transit</t>
  </si>
  <si>
    <t>Merchant</t>
  </si>
  <si>
    <t>apple</t>
  </si>
  <si>
    <t>orange</t>
  </si>
  <si>
    <t>kiwifruit</t>
  </si>
  <si>
    <t>Digifresh</t>
  </si>
  <si>
    <t>pineapple</t>
  </si>
  <si>
    <t>pomogranet</t>
  </si>
  <si>
    <t>Farmer</t>
  </si>
  <si>
    <t>grape</t>
  </si>
  <si>
    <t>Fruit Wholeseller</t>
  </si>
  <si>
    <t>banana</t>
  </si>
  <si>
    <t>Pear</t>
  </si>
  <si>
    <t>Mango</t>
  </si>
  <si>
    <t>watermelon</t>
  </si>
  <si>
    <t>Find the "Days in Transit" from "1-9" Dataset using "Margin%"(0nly values that are higher to the current value)</t>
  </si>
  <si>
    <t>Margin %</t>
  </si>
  <si>
    <t>pomogranete</t>
  </si>
  <si>
    <t>Find the "Days in Transit" from "1-9" Dataset using "Margin%"(0nly values that are lower to the current value)</t>
  </si>
  <si>
    <t>Find the "Days in Transit" from "I-73" Dataset using "Merchant Name")</t>
  </si>
  <si>
    <t>Amazo</t>
  </si>
  <si>
    <t>Walma</t>
  </si>
  <si>
    <t>Digi</t>
  </si>
  <si>
    <t>Basket</t>
  </si>
  <si>
    <t>I Shopped at BigBask</t>
  </si>
  <si>
    <t>Farm</t>
  </si>
  <si>
    <t>Fruit</t>
  </si>
  <si>
    <t>Store Purchase</t>
  </si>
  <si>
    <t>Date Purchased</t>
  </si>
  <si>
    <t>No of Kgs Sold</t>
  </si>
  <si>
    <t>Date of Duty</t>
  </si>
  <si>
    <t>Billing Agent</t>
  </si>
  <si>
    <t>Matthew</t>
  </si>
  <si>
    <t>Sammy</t>
  </si>
  <si>
    <t>Bravo</t>
  </si>
  <si>
    <t>Rock</t>
  </si>
  <si>
    <t>Johnson</t>
  </si>
  <si>
    <t>Smiley</t>
  </si>
  <si>
    <t>Cryptas</t>
  </si>
  <si>
    <t>Luke</t>
  </si>
  <si>
    <t>Carrey</t>
  </si>
  <si>
    <t>Hardy</t>
  </si>
  <si>
    <t>Number of Kilograms Sold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</si>
</sst>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;@"/>
    <numFmt numFmtId="182" formatCode="[$$-409]#,##0.00;\-[$$-409]#,##0.00"/>
    <numFmt numFmtId="183" formatCode="0_);[Red]\(0\)"/>
  </numFmts>
  <fonts count="3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theme="4" tint="-0.5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4" tint="-0.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595959"/>
      <name val="Calibri"/>
      <charset val="134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66FF99"/>
      </left>
      <right/>
      <top style="medium">
        <color rgb="FF66FF99"/>
      </top>
      <bottom style="medium">
        <color rgb="FF66FF99"/>
      </bottom>
      <diagonal/>
    </border>
    <border>
      <left/>
      <right style="medium">
        <color rgb="FF66FF99"/>
      </right>
      <top style="medium">
        <color rgb="FF66FF99"/>
      </top>
      <bottom style="medium">
        <color rgb="FF66FF99"/>
      </bottom>
      <diagonal/>
    </border>
    <border>
      <left style="medium">
        <color rgb="FF66FF99"/>
      </left>
      <right style="thin">
        <color rgb="FF66FF99"/>
      </right>
      <top style="medium">
        <color rgb="FF66FF99"/>
      </top>
      <bottom style="medium">
        <color rgb="FF66FF99"/>
      </bottom>
      <diagonal/>
    </border>
    <border>
      <left style="thin">
        <color rgb="FF66FF99"/>
      </left>
      <right style="medium">
        <color rgb="FF66FF99"/>
      </right>
      <top style="medium">
        <color rgb="FF66FF99"/>
      </top>
      <bottom style="medium">
        <color rgb="FF66FF99"/>
      </bottom>
      <diagonal/>
    </border>
    <border>
      <left style="medium">
        <color rgb="FF66FF99"/>
      </left>
      <right style="thin">
        <color rgb="FFBDFFD5"/>
      </right>
      <top style="medium">
        <color rgb="FF66FF99"/>
      </top>
      <bottom style="thin">
        <color rgb="FFBDFFD5"/>
      </bottom>
      <diagonal/>
    </border>
    <border>
      <left style="thin">
        <color rgb="FFBDFFD5"/>
      </left>
      <right style="thin">
        <color rgb="FFBDFFD5"/>
      </right>
      <top style="medium">
        <color rgb="FF66FF99"/>
      </top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 style="medium">
        <color rgb="FF66FF99"/>
      </top>
      <bottom style="thin">
        <color rgb="FFBDFFD5"/>
      </bottom>
      <diagonal/>
    </border>
    <border>
      <left style="medium">
        <color rgb="FF66FF99"/>
      </left>
      <right style="thin">
        <color rgb="FF66FF99"/>
      </right>
      <top/>
      <bottom style="thin">
        <color rgb="FF66FF99"/>
      </bottom>
      <diagonal/>
    </border>
    <border>
      <left style="thin">
        <color rgb="FF66FF99"/>
      </left>
      <right style="medium">
        <color rgb="FF66FF99"/>
      </right>
      <top/>
      <bottom style="thin">
        <color rgb="FF66FF99"/>
      </bottom>
      <diagonal/>
    </border>
    <border>
      <left style="medium">
        <color rgb="FF66FF99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medium">
        <color rgb="FF66FF99"/>
      </left>
      <right style="thin">
        <color rgb="FF66FF99"/>
      </right>
      <top style="thin">
        <color rgb="FF66FF99"/>
      </top>
      <bottom style="thin">
        <color rgb="FF66FF99"/>
      </bottom>
      <diagonal/>
    </border>
    <border>
      <left style="thin">
        <color rgb="FF66FF99"/>
      </left>
      <right style="medium">
        <color rgb="FF66FF99"/>
      </right>
      <top style="thin">
        <color rgb="FF66FF99"/>
      </top>
      <bottom style="thin">
        <color rgb="FF66FF99"/>
      </bottom>
      <diagonal/>
    </border>
    <border>
      <left style="medium">
        <color rgb="FF66FF99"/>
      </left>
      <right style="thin">
        <color rgb="FF66FF99"/>
      </right>
      <top style="thin">
        <color rgb="FF66FF99"/>
      </top>
      <bottom style="medium">
        <color rgb="FF66FF99"/>
      </bottom>
      <diagonal/>
    </border>
    <border>
      <left style="thin">
        <color rgb="FF66FF99"/>
      </left>
      <right style="medium">
        <color rgb="FF66FF99"/>
      </right>
      <top style="thin">
        <color rgb="FF66FF99"/>
      </top>
      <bottom style="medium">
        <color rgb="FF66FF99"/>
      </bottom>
      <diagonal/>
    </border>
    <border>
      <left style="medium">
        <color rgb="FF66FF99"/>
      </left>
      <right style="thin">
        <color rgb="FFBDFFD5"/>
      </right>
      <top style="thin">
        <color rgb="FFBDFFD5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/>
      <bottom/>
      <diagonal/>
    </border>
    <border>
      <left style="medium">
        <color rgb="FF66FF99"/>
      </left>
      <right/>
      <top/>
      <bottom/>
      <diagonal/>
    </border>
    <border>
      <left/>
      <right style="medium">
        <color rgb="FF66FF99"/>
      </right>
      <top/>
      <bottom/>
      <diagonal/>
    </border>
    <border>
      <left style="medium">
        <color rgb="FF66FF99"/>
      </left>
      <right/>
      <top/>
      <bottom style="medium">
        <color rgb="FF66FF99"/>
      </bottom>
      <diagonal/>
    </border>
    <border>
      <left/>
      <right style="medium">
        <color rgb="FF66FF99"/>
      </right>
      <top/>
      <bottom style="medium">
        <color rgb="FF66FF99"/>
      </bottom>
      <diagonal/>
    </border>
    <border>
      <left style="medium">
        <color rgb="FF66FF99"/>
      </left>
      <right/>
      <top style="medium">
        <color rgb="FF66FF99"/>
      </top>
      <bottom/>
      <diagonal/>
    </border>
    <border>
      <left/>
      <right/>
      <top style="medium">
        <color rgb="FF66FF99"/>
      </top>
      <bottom/>
      <diagonal/>
    </border>
    <border>
      <left/>
      <right style="medium">
        <color rgb="FF66FF99"/>
      </right>
      <top style="medium">
        <color rgb="FF66FF99"/>
      </top>
      <bottom/>
      <diagonal/>
    </border>
    <border>
      <left/>
      <right/>
      <top style="medium">
        <color rgb="FF66FF99"/>
      </top>
      <bottom style="medium">
        <color rgb="FF66FF99"/>
      </bottom>
      <diagonal/>
    </border>
    <border>
      <left style="medium">
        <color rgb="FF66FF99"/>
      </left>
      <right style="thin">
        <color rgb="FFBDFFD5"/>
      </right>
      <top/>
      <bottom style="thin">
        <color rgb="FFBDFFD5"/>
      </bottom>
      <diagonal/>
    </border>
    <border>
      <left style="thin">
        <color rgb="FFBDFFD5"/>
      </left>
      <right style="thin">
        <color rgb="FFBDFFD5"/>
      </right>
      <top/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/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 style="thin">
        <color rgb="FFBDFFD5"/>
      </top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 style="thin">
        <color rgb="FFBDFFD5"/>
      </top>
      <bottom style="medium">
        <color rgb="FF66FF99"/>
      </bottom>
      <diagonal/>
    </border>
    <border>
      <left style="medium">
        <color rgb="FF66FF99"/>
      </left>
      <right style="thin">
        <color rgb="FFBDFFD5"/>
      </right>
      <top style="medium">
        <color rgb="FF66FF99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 style="medium">
        <color rgb="FF66FF99"/>
      </top>
      <bottom style="medium">
        <color rgb="FF66FF99"/>
      </bottom>
      <diagonal/>
    </border>
    <border>
      <left style="thin">
        <color rgb="FFBDFFD5"/>
      </left>
      <right style="medium">
        <color rgb="FF66FF99"/>
      </right>
      <top style="medium">
        <color rgb="FF66FF99"/>
      </top>
      <bottom style="medium">
        <color rgb="FF66FF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3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7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39" applyNumberFormat="0" applyAlignment="0" applyProtection="0">
      <alignment vertical="center"/>
    </xf>
    <xf numFmtId="0" fontId="21" fillId="7" borderId="40" applyNumberFormat="0" applyAlignment="0" applyProtection="0">
      <alignment vertical="center"/>
    </xf>
    <xf numFmtId="0" fontId="22" fillId="7" borderId="39" applyNumberFormat="0" applyAlignment="0" applyProtection="0">
      <alignment vertical="center"/>
    </xf>
    <xf numFmtId="0" fontId="23" fillId="8" borderId="41" applyNumberFormat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5" fillId="0" borderId="4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8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80" fontId="1" fillId="0" borderId="0" xfId="0" applyNumberFormat="1" applyFont="1" applyAlignment="1">
      <alignment horizontal="center"/>
    </xf>
    <xf numFmtId="18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0" fontId="0" fillId="0" borderId="0" xfId="0" applyNumberFormat="1"/>
    <xf numFmtId="0" fontId="0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2" borderId="0" xfId="0" applyFont="1" applyFill="1"/>
    <xf numFmtId="182" fontId="0" fillId="0" borderId="0" xfId="0" applyNumberFormat="1"/>
    <xf numFmtId="0" fontId="3" fillId="3" borderId="0" xfId="0" applyFont="1" applyFill="1" applyAlignment="1">
      <alignment horizontal="center"/>
    </xf>
    <xf numFmtId="182" fontId="3" fillId="3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82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7" fillId="0" borderId="8" xfId="0" applyFont="1" applyBorder="1" applyAlignment="1">
      <alignment horizontal="center" vertical="center" readingOrder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readingOrder="1"/>
    </xf>
    <xf numFmtId="0" fontId="7" fillId="0" borderId="12" xfId="0" applyFont="1" applyBorder="1" applyAlignment="1">
      <alignment horizontal="center" vertical="center" readingOrder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readingOrder="1"/>
    </xf>
    <xf numFmtId="0" fontId="7" fillId="0" borderId="18" xfId="0" applyFont="1" applyBorder="1" applyAlignment="1">
      <alignment horizontal="center" vertical="center" readingOrder="1"/>
    </xf>
    <xf numFmtId="0" fontId="6" fillId="0" borderId="0" xfId="0" applyFont="1" applyAlignment="1">
      <alignment horizontal="center"/>
    </xf>
    <xf numFmtId="1" fontId="7" fillId="0" borderId="12" xfId="0" applyNumberFormat="1" applyFont="1" applyBorder="1" applyAlignment="1">
      <alignment horizontal="center" vertical="center" readingOrder="1"/>
    </xf>
    <xf numFmtId="183" fontId="7" fillId="0" borderId="12" xfId="0" applyNumberFormat="1" applyFont="1" applyBorder="1" applyAlignment="1">
      <alignment horizontal="center" vertical="center" readingOrder="1"/>
    </xf>
    <xf numFmtId="9" fontId="7" fillId="0" borderId="12" xfId="0" applyNumberFormat="1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wrapText="1"/>
    </xf>
    <xf numFmtId="4" fontId="7" fillId="0" borderId="8" xfId="0" applyNumberFormat="1" applyFont="1" applyBorder="1" applyAlignment="1">
      <alignment horizontal="center" vertical="center" readingOrder="1"/>
    </xf>
    <xf numFmtId="3" fontId="7" fillId="0" borderId="8" xfId="0" applyNumberFormat="1" applyFont="1" applyBorder="1" applyAlignment="1">
      <alignment horizontal="center" vertical="center" readingOrder="1"/>
    </xf>
    <xf numFmtId="4" fontId="7" fillId="0" borderId="12" xfId="0" applyNumberFormat="1" applyFont="1" applyBorder="1" applyAlignment="1">
      <alignment horizontal="center" vertical="center" readingOrder="1"/>
    </xf>
    <xf numFmtId="180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0" borderId="12" xfId="0" applyFont="1" applyBorder="1" applyAlignment="1">
      <alignment horizontal="center" vertical="center" readingOrder="1"/>
    </xf>
    <xf numFmtId="180" fontId="10" fillId="0" borderId="12" xfId="0" applyNumberFormat="1" applyFont="1" applyBorder="1" applyAlignment="1">
      <alignment horizontal="center" vertical="center" readingOrder="1"/>
    </xf>
    <xf numFmtId="3" fontId="10" fillId="0" borderId="12" xfId="0" applyNumberFormat="1" applyFont="1" applyBorder="1" applyAlignment="1">
      <alignment horizontal="center" vertical="center" readingOrder="1"/>
    </xf>
    <xf numFmtId="3" fontId="10" fillId="0" borderId="19" xfId="0" applyNumberFormat="1" applyFont="1" applyBorder="1" applyAlignment="1">
      <alignment horizontal="center" vertical="center" readingOrder="1"/>
    </xf>
    <xf numFmtId="180" fontId="7" fillId="0" borderId="7" xfId="0" applyNumberFormat="1" applyFont="1" applyBorder="1" applyAlignment="1">
      <alignment horizontal="center" vertical="center" readingOrder="1"/>
    </xf>
    <xf numFmtId="0" fontId="11" fillId="0" borderId="0" xfId="0" applyFont="1"/>
    <xf numFmtId="180" fontId="6" fillId="0" borderId="20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80" fontId="7" fillId="0" borderId="12" xfId="0" applyNumberFormat="1" applyFont="1" applyBorder="1" applyAlignment="1">
      <alignment horizontal="center" vertical="center" readingOrder="1"/>
    </xf>
    <xf numFmtId="180" fontId="6" fillId="0" borderId="22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80" fontId="7" fillId="0" borderId="18" xfId="0" applyNumberFormat="1" applyFont="1" applyBorder="1" applyAlignment="1">
      <alignment horizontal="center" vertical="center" readingOrder="1"/>
    </xf>
    <xf numFmtId="3" fontId="7" fillId="0" borderId="12" xfId="0" applyNumberFormat="1" applyFont="1" applyBorder="1" applyAlignment="1">
      <alignment horizontal="center" vertical="center" readingOrder="1"/>
    </xf>
    <xf numFmtId="0" fontId="6" fillId="0" borderId="0" xfId="0" applyFont="1" applyAlignment="1">
      <alignment vertical="center"/>
    </xf>
    <xf numFmtId="0" fontId="8" fillId="0" borderId="24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8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readingOrder="1"/>
    </xf>
    <xf numFmtId="0" fontId="7" fillId="0" borderId="29" xfId="0" applyFont="1" applyBorder="1" applyAlignment="1">
      <alignment horizontal="center" vertical="center" readingOrder="1"/>
    </xf>
    <xf numFmtId="0" fontId="7" fillId="0" borderId="30" xfId="0" applyFont="1" applyBorder="1" applyAlignment="1">
      <alignment horizontal="center" vertical="center" readingOrder="1"/>
    </xf>
    <xf numFmtId="0" fontId="7" fillId="0" borderId="28" xfId="0" applyFont="1" applyBorder="1" applyAlignment="1">
      <alignment horizontal="left" vertical="center" readingOrder="1"/>
    </xf>
    <xf numFmtId="0" fontId="7" fillId="0" borderId="11" xfId="0" applyFont="1" applyBorder="1" applyAlignment="1">
      <alignment horizontal="left" vertical="center" readingOrder="1"/>
    </xf>
    <xf numFmtId="0" fontId="7" fillId="0" borderId="31" xfId="0" applyFont="1" applyBorder="1" applyAlignment="1">
      <alignment horizontal="center" vertical="center" readingOrder="1"/>
    </xf>
    <xf numFmtId="0" fontId="7" fillId="0" borderId="17" xfId="0" applyFont="1" applyBorder="1" applyAlignment="1">
      <alignment horizontal="left" vertical="center" readingOrder="1"/>
    </xf>
    <xf numFmtId="0" fontId="7" fillId="0" borderId="32" xfId="0" applyFont="1" applyBorder="1" applyAlignment="1">
      <alignment horizontal="center" vertical="center" readingOrder="1"/>
    </xf>
    <xf numFmtId="0" fontId="7" fillId="0" borderId="33" xfId="0" applyFont="1" applyBorder="1" applyAlignment="1">
      <alignment horizontal="center" vertical="center" readingOrder="1"/>
    </xf>
    <xf numFmtId="0" fontId="7" fillId="0" borderId="34" xfId="0" applyFont="1" applyBorder="1" applyAlignment="1">
      <alignment horizontal="center" vertical="center" readingOrder="1"/>
    </xf>
    <xf numFmtId="0" fontId="7" fillId="0" borderId="35" xfId="0" applyFont="1" applyBorder="1" applyAlignment="1">
      <alignment horizontal="center" vertical="center" readingOrder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i val="0"/>
        <color theme="0"/>
      </font>
      <fill>
        <patternFill patternType="solid">
          <bgColor rgb="FF00B050"/>
        </patternFill>
      </fill>
    </dxf>
  </dxfs>
  <tableStyles count="1" defaultTableStyle="TableStyleMedium2" defaultPivotStyle="PivotStyleLight16">
    <tableStyle name="Invisible" pivot="0" table="0" count="0" xr9:uid="{C27C7907-E68D-47BB-B4BF-E8B16831DF3B}"/>
  </tableStyles>
  <colors>
    <mruColors>
      <color rgb="0066FF99"/>
      <color rgb="00FFEFF4"/>
      <color rgb="00CCFFCC"/>
      <color rgb="00FFB48F"/>
      <color rgb="00FCF492"/>
      <color rgb="00FF97B7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hyperlink" Target="#Vlookup_2!A2"/><Relationship Id="rId3" Type="http://schemas.openxmlformats.org/officeDocument/2006/relationships/hyperlink" Target="#Vlookup_1!A76"/><Relationship Id="rId2" Type="http://schemas.openxmlformats.org/officeDocument/2006/relationships/hyperlink" Target="#Vlookup_1!A57"/><Relationship Id="rId1" Type="http://schemas.openxmlformats.org/officeDocument/2006/relationships/hyperlink" Target="#Vlookup_1!A38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Vlookup_3!A1"/><Relationship Id="rId2" Type="http://schemas.openxmlformats.org/officeDocument/2006/relationships/hyperlink" Target="#Vlookup_2!A54"/><Relationship Id="rId1" Type="http://schemas.openxmlformats.org/officeDocument/2006/relationships/hyperlink" Target="#Vlookup_2!A37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Vlookup4!A1"/><Relationship Id="rId1" Type="http://schemas.openxmlformats.org/officeDocument/2006/relationships/hyperlink" Target="#Vlookup_3!A37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Vlookup4!A36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195034</xdr:colOff>
      <xdr:row>16</xdr:row>
      <xdr:rowOff>120196</xdr:rowOff>
    </xdr:from>
    <xdr:to>
      <xdr:col>10</xdr:col>
      <xdr:colOff>204106</xdr:colOff>
      <xdr:row>17</xdr:row>
      <xdr:rowOff>121785</xdr:rowOff>
    </xdr:to>
    <xdr:sp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7756525" y="3364865"/>
          <a:ext cx="1385570" cy="18542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2</a:t>
          </a:r>
          <a:endParaRPr lang="en-IN" sz="10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238125</xdr:colOff>
      <xdr:row>36</xdr:row>
      <xdr:rowOff>78241</xdr:rowOff>
    </xdr:from>
    <xdr:to>
      <xdr:col>10</xdr:col>
      <xdr:colOff>215446</xdr:colOff>
      <xdr:row>37</xdr:row>
      <xdr:rowOff>57604</xdr:rowOff>
    </xdr:to>
    <xdr:sp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7799705" y="7148830"/>
          <a:ext cx="1353820" cy="16319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3</a:t>
          </a:r>
          <a:endParaRPr lang="en-IN" sz="10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105456</xdr:colOff>
      <xdr:row>54</xdr:row>
      <xdr:rowOff>92756</xdr:rowOff>
    </xdr:from>
    <xdr:to>
      <xdr:col>10</xdr:col>
      <xdr:colOff>27214</xdr:colOff>
      <xdr:row>55</xdr:row>
      <xdr:rowOff>86858</xdr:rowOff>
    </xdr:to>
    <xdr:sp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7666990" y="10703560"/>
          <a:ext cx="1297940" cy="1778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4</a:t>
          </a:r>
          <a:endParaRPr lang="en-IN" sz="10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256266</xdr:colOff>
      <xdr:row>74</xdr:row>
      <xdr:rowOff>44224</xdr:rowOff>
    </xdr:from>
    <xdr:to>
      <xdr:col>10</xdr:col>
      <xdr:colOff>225650</xdr:colOff>
      <xdr:row>75</xdr:row>
      <xdr:rowOff>15649</xdr:rowOff>
    </xdr:to>
    <xdr:sp>
      <xdr:nvSpPr>
        <xdr:cNvPr id="6" name="Rectangle: Rounded Corners 5">
          <a:hlinkClick xmlns:r="http://schemas.openxmlformats.org/officeDocument/2006/relationships" r:id="rId4"/>
        </xdr:cNvPr>
        <xdr:cNvSpPr/>
      </xdr:nvSpPr>
      <xdr:spPr>
        <a:xfrm>
          <a:off x="7817485" y="14632940"/>
          <a:ext cx="1346200" cy="15557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</a:t>
          </a:r>
          <a:r>
            <a:rPr lang="en-IN" sz="1000" b="1" baseline="0">
              <a:solidFill>
                <a:schemeClr val="bg1">
                  <a:lumMod val="75000"/>
                </a:schemeClr>
              </a:solidFill>
            </a:rPr>
            <a:t> 5</a:t>
          </a:r>
          <a:endParaRPr lang="en-IN" sz="10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71437</xdr:colOff>
      <xdr:row>16</xdr:row>
      <xdr:rowOff>142874</xdr:rowOff>
    </xdr:from>
    <xdr:to>
      <xdr:col>11</xdr:col>
      <xdr:colOff>253999</xdr:colOff>
      <xdr:row>17</xdr:row>
      <xdr:rowOff>95250</xdr:rowOff>
    </xdr:to>
    <xdr:sp macro="[0]!Sheet4.vlookup6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8959215" y="3428365"/>
          <a:ext cx="1458595" cy="13716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9</xdr:col>
      <xdr:colOff>39687</xdr:colOff>
      <xdr:row>33</xdr:row>
      <xdr:rowOff>128588</xdr:rowOff>
    </xdr:from>
    <xdr:to>
      <xdr:col>11</xdr:col>
      <xdr:colOff>111124</xdr:colOff>
      <xdr:row>34</xdr:row>
      <xdr:rowOff>79373</xdr:rowOff>
    </xdr:to>
    <xdr:sp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8927465" y="6678295"/>
          <a:ext cx="1347470" cy="1346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  <a:endParaRPr lang="en-IN" sz="1000" b="1"/>
        </a:p>
      </xdr:txBody>
    </xdr:sp>
    <xdr:clientData/>
  </xdr:twoCellAnchor>
  <xdr:twoCellAnchor>
    <xdr:from>
      <xdr:col>9</xdr:col>
      <xdr:colOff>71437</xdr:colOff>
      <xdr:row>49</xdr:row>
      <xdr:rowOff>166688</xdr:rowOff>
    </xdr:from>
    <xdr:to>
      <xdr:col>11</xdr:col>
      <xdr:colOff>198435</xdr:colOff>
      <xdr:row>50</xdr:row>
      <xdr:rowOff>103188</xdr:rowOff>
    </xdr:to>
    <xdr:sp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8959215" y="9831070"/>
          <a:ext cx="1403350" cy="13017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 </a:t>
          </a:r>
          <a:endParaRPr lang="en-IN" sz="1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563564</xdr:colOff>
      <xdr:row>16</xdr:row>
      <xdr:rowOff>142875</xdr:rowOff>
    </xdr:from>
    <xdr:to>
      <xdr:col>10</xdr:col>
      <xdr:colOff>23812</xdr:colOff>
      <xdr:row>17</xdr:row>
      <xdr:rowOff>103189</xdr:rowOff>
    </xdr:to>
    <xdr:sp>
      <xdr:nvSpPr>
        <xdr:cNvPr id="3" name="Rectangle: Rounded Corners 2">
          <a:hlinkClick xmlns:r="http://schemas.openxmlformats.org/officeDocument/2006/relationships" r:id="rId1"/>
        </xdr:cNvPr>
        <xdr:cNvSpPr/>
      </xdr:nvSpPr>
      <xdr:spPr>
        <a:xfrm>
          <a:off x="9291955" y="3282950"/>
          <a:ext cx="1285875" cy="14414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9</a:t>
          </a:r>
          <a:endParaRPr lang="en-IN" sz="1000" b="1"/>
        </a:p>
      </xdr:txBody>
    </xdr:sp>
    <xdr:clientData/>
  </xdr:twoCellAnchor>
  <xdr:twoCellAnchor>
    <xdr:from>
      <xdr:col>8</xdr:col>
      <xdr:colOff>547688</xdr:colOff>
      <xdr:row>35</xdr:row>
      <xdr:rowOff>15874</xdr:rowOff>
    </xdr:from>
    <xdr:to>
      <xdr:col>10</xdr:col>
      <xdr:colOff>7936</xdr:colOff>
      <xdr:row>35</xdr:row>
      <xdr:rowOff>182563</xdr:rowOff>
    </xdr:to>
    <xdr:sp>
      <xdr:nvSpPr>
        <xdr:cNvPr id="5" name="Rectangle: Rounded Corners 4">
          <a:hlinkClick xmlns:r="http://schemas.openxmlformats.org/officeDocument/2006/relationships" r:id="rId2"/>
        </xdr:cNvPr>
        <xdr:cNvSpPr/>
      </xdr:nvSpPr>
      <xdr:spPr>
        <a:xfrm>
          <a:off x="9276080" y="6758940"/>
          <a:ext cx="1285875" cy="1670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10</a:t>
          </a:r>
          <a:endParaRPr lang="en-IN" sz="10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1138236</xdr:colOff>
      <xdr:row>13</xdr:row>
      <xdr:rowOff>31749</xdr:rowOff>
    </xdr:from>
    <xdr:to>
      <xdr:col>8</xdr:col>
      <xdr:colOff>1103311</xdr:colOff>
      <xdr:row>13</xdr:row>
      <xdr:rowOff>182564</xdr:rowOff>
    </xdr:to>
    <xdr:sp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088755" y="3435985"/>
          <a:ext cx="1292225" cy="15113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11</a:t>
          </a:r>
          <a:endParaRPr lang="en-IN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autoPageBreaks="0"/>
  </sheetPr>
  <dimension ref="B2:L73"/>
  <sheetViews>
    <sheetView showGridLines="0" zoomScale="120" zoomScaleNormal="120" topLeftCell="B1" workbookViewId="0">
      <selection activeCell="F1" sqref="F1"/>
    </sheetView>
  </sheetViews>
  <sheetFormatPr defaultColWidth="9" defaultRowHeight="14.5"/>
  <cols>
    <col min="1" max="1" width="8.70909090909091" style="25" customWidth="1"/>
    <col min="2" max="2" width="17.1363636363636" style="25" customWidth="1"/>
    <col min="3" max="3" width="8.28181818181818" style="25" customWidth="1"/>
    <col min="4" max="4" width="13.8545454545455" style="25" customWidth="1"/>
    <col min="5" max="5" width="19.7090909090909" style="25" customWidth="1"/>
    <col min="6" max="6" width="7.13636363636364" style="25" customWidth="1"/>
    <col min="7" max="7" width="7.42727272727273" style="25" customWidth="1"/>
    <col min="8" max="8" width="13.5727272727273" style="25" customWidth="1"/>
    <col min="9" max="9" width="12.4272727272727" style="25" customWidth="1"/>
    <col min="10" max="10" width="19.7090909090909" style="25" customWidth="1"/>
    <col min="11" max="16384" width="9.13636363636364" style="25"/>
  </cols>
  <sheetData>
    <row r="2" ht="16.5" customHeight="1"/>
    <row r="3" ht="15.25" spans="2:12">
      <c r="B3" s="70" t="s">
        <v>0</v>
      </c>
      <c r="C3" s="71"/>
      <c r="D3" s="71"/>
      <c r="E3" s="72"/>
      <c r="H3" s="70" t="s">
        <v>1</v>
      </c>
      <c r="I3" s="71"/>
      <c r="J3" s="72"/>
    </row>
    <row r="4" s="69" customFormat="1" ht="15.25" spans="2:12">
      <c r="B4" s="26" t="s">
        <v>2</v>
      </c>
      <c r="C4" s="73" t="s">
        <v>3</v>
      </c>
      <c r="D4" s="73" t="s">
        <v>4</v>
      </c>
      <c r="E4" s="27" t="s">
        <v>5</v>
      </c>
      <c r="H4" s="26" t="s">
        <v>2</v>
      </c>
      <c r="I4" s="73" t="s">
        <v>4</v>
      </c>
      <c r="J4" s="27" t="s">
        <v>5</v>
      </c>
    </row>
    <row r="5" spans="2:12">
      <c r="B5" s="74" t="s">
        <v>6</v>
      </c>
      <c r="C5" s="75">
        <v>7.85</v>
      </c>
      <c r="D5" s="76" t="str">
        <f xml:space="preserve">VLOOKUP(B5,$H$4:$J$7,2,FALSE)</f>
        <v>Amazon</v>
      </c>
      <c r="E5" s="76" t="str">
        <f xml:space="preserve">VLOOKUP(B5,$H$4:$J$7,3,FALSE)</f>
        <v>Jan</v>
      </c>
      <c r="H5" s="77" t="s">
        <v>6</v>
      </c>
      <c r="I5" s="75" t="s">
        <v>7</v>
      </c>
      <c r="J5" s="76" t="s">
        <v>8</v>
      </c>
    </row>
    <row r="6" ht="18.75" customHeight="1" spans="2:12">
      <c r="B6" s="35" t="s">
        <v>9</v>
      </c>
      <c r="C6" s="36">
        <v>3.25</v>
      </c>
      <c r="D6" s="76" t="e">
        <f t="shared" ref="D6:D16" si="0" xml:space="preserve">VLOOKUP(B6,$H$4:$J$7,2,FALSE)</f>
        <v>#N/A</v>
      </c>
      <c r="E6" s="76" t="e">
        <f t="shared" ref="E6:E16" si="1" xml:space="preserve">VLOOKUP(B6,$H$4:$J$7,3,FALSE)</f>
        <v>#N/A</v>
      </c>
      <c r="H6" s="78" t="s">
        <v>10</v>
      </c>
      <c r="I6" s="36" t="s">
        <v>11</v>
      </c>
      <c r="J6" s="79" t="s">
        <v>12</v>
      </c>
    </row>
    <row r="7" ht="21" customHeight="1" spans="2:12">
      <c r="B7" s="35" t="s">
        <v>10</v>
      </c>
      <c r="C7" s="36">
        <v>12.5</v>
      </c>
      <c r="D7" s="76" t="str">
        <f t="shared" si="0"/>
        <v>BigBasket</v>
      </c>
      <c r="E7" s="76" t="str">
        <f t="shared" si="1"/>
        <v>Feb</v>
      </c>
      <c r="H7" s="80" t="s">
        <v>13</v>
      </c>
      <c r="I7" s="42" t="s">
        <v>14</v>
      </c>
      <c r="J7" s="81" t="s">
        <v>15</v>
      </c>
    </row>
    <row r="8" spans="2:12">
      <c r="B8" s="35" t="s">
        <v>16</v>
      </c>
      <c r="C8" s="36">
        <v>6.35</v>
      </c>
      <c r="D8" s="76" t="e">
        <f t="shared" si="0"/>
        <v>#N/A</v>
      </c>
      <c r="E8" s="76" t="e">
        <f t="shared" si="1"/>
        <v>#N/A</v>
      </c>
      <c r="L8" s="53"/>
    </row>
    <row r="9" spans="2:12">
      <c r="B9" s="35" t="s">
        <v>13</v>
      </c>
      <c r="C9" s="36">
        <v>2.5</v>
      </c>
      <c r="D9" s="76" t="str">
        <f t="shared" si="0"/>
        <v>Walmart</v>
      </c>
      <c r="E9" s="76" t="str">
        <f t="shared" si="1"/>
        <v>Mar</v>
      </c>
    </row>
    <row r="10" ht="18.75" customHeight="1" spans="2:12">
      <c r="B10" s="35" t="s">
        <v>17</v>
      </c>
      <c r="C10" s="36">
        <v>6.5</v>
      </c>
      <c r="D10" s="76" t="e">
        <f t="shared" si="0"/>
        <v>#N/A</v>
      </c>
      <c r="E10" s="76" t="e">
        <f t="shared" si="1"/>
        <v>#N/A</v>
      </c>
      <c r="H10" s="66" t="s">
        <v>18</v>
      </c>
      <c r="I10" s="66"/>
      <c r="J10" s="66"/>
    </row>
    <row r="11" spans="2:12">
      <c r="B11" s="35" t="s">
        <v>6</v>
      </c>
      <c r="C11" s="36">
        <v>8.75</v>
      </c>
      <c r="D11" s="76" t="str">
        <f t="shared" si="0"/>
        <v>Amazon</v>
      </c>
      <c r="E11" s="76" t="str">
        <f t="shared" si="1"/>
        <v>Jan</v>
      </c>
      <c r="H11" s="66"/>
      <c r="I11" s="66"/>
      <c r="J11" s="66"/>
    </row>
    <row r="12" spans="2:12">
      <c r="B12" s="35" t="s">
        <v>16</v>
      </c>
      <c r="C12" s="36">
        <v>4.65</v>
      </c>
      <c r="D12" s="76" t="e">
        <f t="shared" si="0"/>
        <v>#N/A</v>
      </c>
      <c r="E12" s="76" t="e">
        <f t="shared" si="1"/>
        <v>#N/A</v>
      </c>
    </row>
    <row r="13" spans="2:12">
      <c r="B13" s="35" t="s">
        <v>6</v>
      </c>
      <c r="C13" s="36">
        <v>12.85</v>
      </c>
      <c r="D13" s="76" t="str">
        <f t="shared" si="0"/>
        <v>Amazon</v>
      </c>
      <c r="E13" s="76" t="str">
        <f t="shared" si="1"/>
        <v>Jan</v>
      </c>
    </row>
    <row r="14" ht="18.75" customHeight="1" spans="2:12">
      <c r="B14" s="35" t="s">
        <v>9</v>
      </c>
      <c r="C14" s="36">
        <v>8.25</v>
      </c>
      <c r="D14" s="76" t="e">
        <f t="shared" si="0"/>
        <v>#N/A</v>
      </c>
      <c r="E14" s="76" t="e">
        <f t="shared" si="1"/>
        <v>#N/A</v>
      </c>
    </row>
    <row r="15" spans="2:12">
      <c r="B15" s="35" t="s">
        <v>10</v>
      </c>
      <c r="C15" s="36">
        <v>13.5</v>
      </c>
      <c r="D15" s="76" t="str">
        <f t="shared" si="0"/>
        <v>BigBasket</v>
      </c>
      <c r="E15" s="76" t="str">
        <f t="shared" si="1"/>
        <v>Feb</v>
      </c>
    </row>
    <row r="16" ht="15.25" spans="2:12">
      <c r="B16" s="41" t="s">
        <v>16</v>
      </c>
      <c r="C16" s="42">
        <v>9.95</v>
      </c>
      <c r="D16" s="76" t="e">
        <f t="shared" si="0"/>
        <v>#N/A</v>
      </c>
      <c r="E16" s="76" t="e">
        <f t="shared" si="1"/>
        <v>#N/A</v>
      </c>
    </row>
    <row r="21" ht="15.25"/>
    <row r="22" ht="15.25" spans="2:12">
      <c r="B22" s="70" t="s">
        <v>0</v>
      </c>
      <c r="C22" s="71"/>
      <c r="D22" s="71"/>
      <c r="E22" s="72"/>
      <c r="H22" s="70" t="s">
        <v>1</v>
      </c>
      <c r="I22" s="71"/>
      <c r="J22" s="72"/>
    </row>
    <row r="23" ht="15.25" spans="2:12">
      <c r="B23" s="26" t="s">
        <v>2</v>
      </c>
      <c r="C23" s="73" t="s">
        <v>3</v>
      </c>
      <c r="D23" s="73" t="s">
        <v>4</v>
      </c>
      <c r="E23" s="27" t="s">
        <v>5</v>
      </c>
      <c r="F23" s="69"/>
      <c r="G23" s="69"/>
      <c r="H23" s="82" t="s">
        <v>4</v>
      </c>
      <c r="I23" s="83" t="s">
        <v>2</v>
      </c>
      <c r="J23" s="84" t="s">
        <v>5</v>
      </c>
      <c r="K23" s="82" t="s">
        <v>4</v>
      </c>
    </row>
    <row r="24" ht="15.25" spans="2:12">
      <c r="B24" s="30" t="s">
        <v>6</v>
      </c>
      <c r="C24" s="31">
        <v>7.85</v>
      </c>
      <c r="D24" s="31" t="str">
        <f xml:space="preserve">VLOOKUP(B24,$I$23:$K$27,3,FALSE)</f>
        <v>Amazon</v>
      </c>
      <c r="E24" s="32" t="str">
        <f xml:space="preserve">VLOOKUP(B24,$I$23:$K$27,2,FALSE)</f>
        <v>Jan</v>
      </c>
      <c r="H24" s="74" t="s">
        <v>7</v>
      </c>
      <c r="I24" s="75" t="s">
        <v>6</v>
      </c>
      <c r="J24" s="76" t="s">
        <v>8</v>
      </c>
      <c r="K24" s="74" t="s">
        <v>7</v>
      </c>
    </row>
    <row r="25" ht="15.25" spans="2:12">
      <c r="B25" s="35" t="s">
        <v>9</v>
      </c>
      <c r="C25" s="36">
        <v>3.25</v>
      </c>
      <c r="D25" s="31" t="str">
        <f t="shared" ref="D25:D35" si="2" xml:space="preserve">VLOOKUP(B25,$I$23:$K$27,3,FALSE)</f>
        <v>BigBasket</v>
      </c>
      <c r="E25" s="32" t="str">
        <f t="shared" ref="E25:E35" si="3" xml:space="preserve">VLOOKUP(B25,$I$23:$K$27,2,FALSE)</f>
        <v>Feb</v>
      </c>
      <c r="H25" s="35" t="s">
        <v>11</v>
      </c>
      <c r="I25" s="36" t="s">
        <v>9</v>
      </c>
      <c r="J25" s="79" t="s">
        <v>12</v>
      </c>
      <c r="K25" s="35" t="s">
        <v>11</v>
      </c>
    </row>
    <row r="26" ht="15.25" spans="2:12">
      <c r="B26" s="35" t="s">
        <v>10</v>
      </c>
      <c r="C26" s="36">
        <v>12.5</v>
      </c>
      <c r="D26" s="31" t="str">
        <f t="shared" si="2"/>
        <v>Kiwi</v>
      </c>
      <c r="E26" s="32" t="str">
        <f t="shared" si="3"/>
        <v>Jul</v>
      </c>
      <c r="H26" s="35" t="s">
        <v>14</v>
      </c>
      <c r="I26" s="36" t="s">
        <v>16</v>
      </c>
      <c r="J26" s="79" t="s">
        <v>15</v>
      </c>
      <c r="K26" s="35" t="s">
        <v>14</v>
      </c>
      <c r="L26" s="53"/>
    </row>
    <row r="27" ht="15.25" spans="2:12">
      <c r="B27" s="35" t="s">
        <v>16</v>
      </c>
      <c r="C27" s="36">
        <v>6.35</v>
      </c>
      <c r="D27" s="31" t="str">
        <f t="shared" si="2"/>
        <v>Walmart</v>
      </c>
      <c r="E27" s="32" t="str">
        <f t="shared" si="3"/>
        <v>Mar</v>
      </c>
      <c r="H27" s="41" t="s">
        <v>10</v>
      </c>
      <c r="I27" s="42" t="s">
        <v>10</v>
      </c>
      <c r="J27" s="81" t="s">
        <v>19</v>
      </c>
      <c r="K27" s="41" t="s">
        <v>10</v>
      </c>
    </row>
    <row r="28" ht="15.25" spans="2:12">
      <c r="B28" s="35" t="s">
        <v>13</v>
      </c>
      <c r="C28" s="36">
        <v>2.5</v>
      </c>
      <c r="D28" s="31" t="e">
        <f t="shared" si="2"/>
        <v>#N/A</v>
      </c>
      <c r="E28" s="32" t="e">
        <f t="shared" si="3"/>
        <v>#N/A</v>
      </c>
    </row>
    <row r="29" ht="15.25" spans="2:12">
      <c r="B29" s="35" t="s">
        <v>17</v>
      </c>
      <c r="C29" s="36">
        <v>6.5</v>
      </c>
      <c r="D29" s="31" t="e">
        <f t="shared" si="2"/>
        <v>#N/A</v>
      </c>
      <c r="E29" s="32" t="e">
        <f t="shared" si="3"/>
        <v>#N/A</v>
      </c>
      <c r="H29" s="66" t="s">
        <v>20</v>
      </c>
      <c r="I29" s="66"/>
      <c r="J29" s="66"/>
    </row>
    <row r="30" ht="15.25" spans="2:12">
      <c r="B30" s="35" t="s">
        <v>6</v>
      </c>
      <c r="C30" s="36">
        <v>8.75</v>
      </c>
      <c r="D30" s="31" t="str">
        <f t="shared" si="2"/>
        <v>Amazon</v>
      </c>
      <c r="E30" s="32" t="str">
        <f t="shared" si="3"/>
        <v>Jan</v>
      </c>
      <c r="H30" s="66"/>
      <c r="I30" s="66"/>
      <c r="J30" s="66"/>
    </row>
    <row r="31" ht="15.25" spans="2:12">
      <c r="B31" s="35" t="s">
        <v>16</v>
      </c>
      <c r="C31" s="36">
        <v>4.65</v>
      </c>
      <c r="D31" s="31" t="str">
        <f t="shared" si="2"/>
        <v>Walmart</v>
      </c>
      <c r="E31" s="32" t="str">
        <f t="shared" si="3"/>
        <v>Mar</v>
      </c>
    </row>
    <row r="32" ht="15.25" spans="2:12">
      <c r="B32" s="35" t="s">
        <v>6</v>
      </c>
      <c r="C32" s="36">
        <v>12.85</v>
      </c>
      <c r="D32" s="31" t="str">
        <f t="shared" si="2"/>
        <v>Amazon</v>
      </c>
      <c r="E32" s="32" t="str">
        <f t="shared" si="3"/>
        <v>Jan</v>
      </c>
    </row>
    <row r="33" ht="15.25" spans="2:12">
      <c r="B33" s="35" t="s">
        <v>9</v>
      </c>
      <c r="C33" s="36">
        <v>8.25</v>
      </c>
      <c r="D33" s="31" t="str">
        <f t="shared" si="2"/>
        <v>BigBasket</v>
      </c>
      <c r="E33" s="32" t="str">
        <f t="shared" si="3"/>
        <v>Feb</v>
      </c>
      <c r="I33" s="25" t="s">
        <v>21</v>
      </c>
    </row>
    <row r="34" ht="15.25" spans="2:12">
      <c r="B34" s="35" t="s">
        <v>10</v>
      </c>
      <c r="C34" s="36">
        <v>13.5</v>
      </c>
      <c r="D34" s="31" t="str">
        <f t="shared" si="2"/>
        <v>Kiwi</v>
      </c>
      <c r="E34" s="32" t="str">
        <f t="shared" si="3"/>
        <v>Jul</v>
      </c>
      <c r="I34" s="25" t="s">
        <v>22</v>
      </c>
    </row>
    <row r="35" ht="15.25" spans="2:12">
      <c r="B35" s="41" t="s">
        <v>16</v>
      </c>
      <c r="C35" s="42">
        <v>9.95</v>
      </c>
      <c r="D35" s="31" t="str">
        <f t="shared" si="2"/>
        <v>Walmart</v>
      </c>
      <c r="E35" s="32" t="str">
        <f t="shared" si="3"/>
        <v>Mar</v>
      </c>
    </row>
    <row r="39" ht="15.25"/>
    <row r="40" ht="21.75" customHeight="1" spans="2:12">
      <c r="B40" s="70" t="s">
        <v>0</v>
      </c>
      <c r="C40" s="71"/>
      <c r="D40" s="71"/>
      <c r="E40" s="72"/>
      <c r="H40" s="70" t="s">
        <v>23</v>
      </c>
      <c r="I40" s="71"/>
      <c r="J40" s="72"/>
    </row>
    <row r="41" ht="15.25" spans="2:12">
      <c r="B41" s="26" t="s">
        <v>2</v>
      </c>
      <c r="C41" s="73" t="s">
        <v>3</v>
      </c>
      <c r="D41" s="73" t="s">
        <v>4</v>
      </c>
      <c r="E41" s="27" t="s">
        <v>5</v>
      </c>
      <c r="H41" s="82" t="s">
        <v>3</v>
      </c>
      <c r="I41" s="83" t="s">
        <v>24</v>
      </c>
      <c r="J41" s="84" t="s">
        <v>5</v>
      </c>
    </row>
    <row r="42" ht="15.25" spans="2:12">
      <c r="B42" s="30" t="s">
        <v>6</v>
      </c>
      <c r="C42" s="31">
        <v>7.85</v>
      </c>
      <c r="D42" s="31" t="s">
        <v>7</v>
      </c>
      <c r="E42" s="32" t="str">
        <f xml:space="preserve">VLOOKUP(C42,$H$41:$J$47,3,FALSE)</f>
        <v>Jan</v>
      </c>
      <c r="H42" s="74">
        <v>7.85</v>
      </c>
      <c r="I42" s="75" t="s">
        <v>25</v>
      </c>
      <c r="J42" s="76" t="s">
        <v>8</v>
      </c>
    </row>
    <row r="43" ht="15.25" spans="2:12">
      <c r="B43" s="35" t="s">
        <v>9</v>
      </c>
      <c r="C43" s="36">
        <v>3.25</v>
      </c>
      <c r="D43" s="36" t="s">
        <v>11</v>
      </c>
      <c r="E43" s="32" t="e">
        <f t="shared" ref="E43:E53" si="4" xml:space="preserve">VLOOKUP(C43,$H$41:$J$47,3,FALSE)</f>
        <v>#N/A</v>
      </c>
      <c r="H43" s="35">
        <v>12.5</v>
      </c>
      <c r="I43" s="36" t="s">
        <v>26</v>
      </c>
      <c r="J43" s="79" t="s">
        <v>15</v>
      </c>
    </row>
    <row r="44" ht="15.25" spans="2:12">
      <c r="B44" s="35" t="s">
        <v>10</v>
      </c>
      <c r="C44" s="36">
        <v>12.5</v>
      </c>
      <c r="D44" s="36" t="s">
        <v>14</v>
      </c>
      <c r="E44" s="32" t="str">
        <f t="shared" si="4"/>
        <v>Mar</v>
      </c>
      <c r="H44" s="35">
        <v>6.5</v>
      </c>
      <c r="I44" s="36" t="s">
        <v>26</v>
      </c>
      <c r="J44" s="79" t="s">
        <v>15</v>
      </c>
      <c r="L44" s="53"/>
    </row>
    <row r="45" ht="15.25" spans="2:12">
      <c r="B45" s="35" t="s">
        <v>16</v>
      </c>
      <c r="C45" s="36">
        <v>6.35</v>
      </c>
      <c r="D45" s="36" t="s">
        <v>27</v>
      </c>
      <c r="E45" s="32" t="e">
        <f t="shared" si="4"/>
        <v>#N/A</v>
      </c>
      <c r="H45" s="35">
        <v>8.75</v>
      </c>
      <c r="I45" s="36" t="s">
        <v>25</v>
      </c>
      <c r="J45" s="79" t="s">
        <v>19</v>
      </c>
    </row>
    <row r="46" ht="15.25" spans="2:12">
      <c r="B46" s="35" t="s">
        <v>13</v>
      </c>
      <c r="C46" s="36">
        <v>2.5</v>
      </c>
      <c r="D46" s="36" t="s">
        <v>28</v>
      </c>
      <c r="E46" s="32" t="e">
        <f t="shared" si="4"/>
        <v>#N/A</v>
      </c>
      <c r="H46" s="35">
        <v>4.65</v>
      </c>
      <c r="I46" s="36" t="s">
        <v>26</v>
      </c>
      <c r="J46" s="79" t="s">
        <v>12</v>
      </c>
    </row>
    <row r="47" ht="15.25" spans="2:12">
      <c r="B47" s="35" t="s">
        <v>17</v>
      </c>
      <c r="C47" s="36">
        <v>6.5</v>
      </c>
      <c r="D47" s="36" t="s">
        <v>29</v>
      </c>
      <c r="E47" s="32" t="str">
        <f t="shared" si="4"/>
        <v>Mar</v>
      </c>
      <c r="H47" s="41">
        <v>12.85</v>
      </c>
      <c r="I47" s="42" t="s">
        <v>25</v>
      </c>
      <c r="J47" s="81" t="s">
        <v>15</v>
      </c>
    </row>
    <row r="48" ht="15.25" spans="2:12">
      <c r="B48" s="35" t="s">
        <v>6</v>
      </c>
      <c r="C48" s="36">
        <v>8.75</v>
      </c>
      <c r="D48" s="36" t="s">
        <v>7</v>
      </c>
      <c r="E48" s="32" t="str">
        <f t="shared" si="4"/>
        <v>Jul</v>
      </c>
    </row>
    <row r="49" ht="15.25" spans="2:12">
      <c r="B49" s="35" t="s">
        <v>16</v>
      </c>
      <c r="C49" s="36">
        <v>4.65</v>
      </c>
      <c r="D49" s="36" t="s">
        <v>27</v>
      </c>
      <c r="E49" s="32" t="str">
        <f t="shared" si="4"/>
        <v>Feb</v>
      </c>
      <c r="H49" s="66" t="s">
        <v>30</v>
      </c>
      <c r="I49" s="66"/>
      <c r="J49" s="66"/>
    </row>
    <row r="50" ht="15.25" spans="2:12">
      <c r="B50" s="35" t="s">
        <v>6</v>
      </c>
      <c r="C50" s="36">
        <v>12.85</v>
      </c>
      <c r="D50" s="36" t="s">
        <v>7</v>
      </c>
      <c r="E50" s="32" t="str">
        <f t="shared" si="4"/>
        <v>Mar</v>
      </c>
      <c r="H50" s="66"/>
      <c r="I50" s="66"/>
      <c r="J50" s="66"/>
    </row>
    <row r="51" ht="15.25" spans="2:12">
      <c r="B51" s="35" t="s">
        <v>9</v>
      </c>
      <c r="C51" s="36">
        <v>8.25</v>
      </c>
      <c r="D51" s="36" t="s">
        <v>11</v>
      </c>
      <c r="E51" s="32" t="e">
        <f t="shared" si="4"/>
        <v>#N/A</v>
      </c>
    </row>
    <row r="52" ht="15.25" spans="2:12">
      <c r="B52" s="35" t="s">
        <v>10</v>
      </c>
      <c r="C52" s="36">
        <v>13.5</v>
      </c>
      <c r="D52" s="36" t="s">
        <v>14</v>
      </c>
      <c r="E52" s="32" t="e">
        <f t="shared" si="4"/>
        <v>#N/A</v>
      </c>
    </row>
    <row r="53" ht="15.25" spans="2:12">
      <c r="B53" s="41" t="s">
        <v>16</v>
      </c>
      <c r="C53" s="42">
        <v>9.95</v>
      </c>
      <c r="D53" s="42" t="s">
        <v>27</v>
      </c>
      <c r="E53" s="32" t="e">
        <f t="shared" si="4"/>
        <v>#N/A</v>
      </c>
    </row>
    <row r="59" ht="15.25"/>
    <row r="60" ht="20.25" customHeight="1" spans="2:12">
      <c r="B60" s="70" t="s">
        <v>0</v>
      </c>
      <c r="C60" s="71"/>
      <c r="D60" s="71"/>
      <c r="E60" s="72"/>
      <c r="H60" s="70" t="s">
        <v>23</v>
      </c>
      <c r="I60" s="71"/>
      <c r="J60" s="72"/>
    </row>
    <row r="61" ht="15.25" spans="2:12">
      <c r="B61" s="85" t="s">
        <v>2</v>
      </c>
      <c r="C61" s="86" t="s">
        <v>3</v>
      </c>
      <c r="D61" s="86" t="s">
        <v>4</v>
      </c>
      <c r="E61" s="87" t="s">
        <v>31</v>
      </c>
      <c r="H61" s="82" t="s">
        <v>3</v>
      </c>
      <c r="I61" s="83" t="s">
        <v>24</v>
      </c>
      <c r="J61" s="84" t="s">
        <v>5</v>
      </c>
    </row>
    <row r="62" ht="15.25" spans="2:12">
      <c r="B62" s="30" t="s">
        <v>6</v>
      </c>
      <c r="C62" s="31">
        <v>7.85</v>
      </c>
      <c r="D62" s="31" t="s">
        <v>7</v>
      </c>
      <c r="E62" s="32" t="str">
        <f xml:space="preserve">VLOOKUP(C62,$H$61:$I$67,2,FALSE)</f>
        <v>Cash</v>
      </c>
      <c r="H62" s="74">
        <v>7.85</v>
      </c>
      <c r="I62" s="75" t="s">
        <v>25</v>
      </c>
      <c r="J62" s="76" t="s">
        <v>8</v>
      </c>
    </row>
    <row r="63" ht="15.25" spans="2:12">
      <c r="B63" s="35" t="s">
        <v>9</v>
      </c>
      <c r="C63" s="36">
        <v>3.25</v>
      </c>
      <c r="D63" s="36" t="s">
        <v>11</v>
      </c>
      <c r="E63" s="32" t="e">
        <f t="shared" ref="E63:E73" si="5" xml:space="preserve">VLOOKUP(C63,$H$61:$I$67,2,FALSE)</f>
        <v>#N/A</v>
      </c>
      <c r="H63" s="35">
        <v>12.5</v>
      </c>
      <c r="I63" s="36" t="s">
        <v>26</v>
      </c>
      <c r="J63" s="79" t="s">
        <v>15</v>
      </c>
    </row>
    <row r="64" ht="15.25" spans="2:12">
      <c r="B64" s="35" t="s">
        <v>10</v>
      </c>
      <c r="C64" s="36">
        <v>12.5</v>
      </c>
      <c r="D64" s="36" t="s">
        <v>14</v>
      </c>
      <c r="E64" s="32" t="str">
        <f t="shared" si="5"/>
        <v>Card</v>
      </c>
      <c r="H64" s="35">
        <v>6.5</v>
      </c>
      <c r="I64" s="36" t="s">
        <v>26</v>
      </c>
      <c r="J64" s="79" t="s">
        <v>15</v>
      </c>
      <c r="L64" s="53"/>
    </row>
    <row r="65" ht="15.25" spans="2:10">
      <c r="B65" s="35" t="s">
        <v>16</v>
      </c>
      <c r="C65" s="36">
        <v>6.35</v>
      </c>
      <c r="D65" s="36" t="s">
        <v>27</v>
      </c>
      <c r="E65" s="32" t="e">
        <f t="shared" si="5"/>
        <v>#N/A</v>
      </c>
      <c r="H65" s="35">
        <v>8.75</v>
      </c>
      <c r="I65" s="36" t="s">
        <v>25</v>
      </c>
      <c r="J65" s="79" t="s">
        <v>19</v>
      </c>
    </row>
    <row r="66" ht="15.25" spans="2:10">
      <c r="B66" s="35" t="s">
        <v>13</v>
      </c>
      <c r="C66" s="36">
        <v>2.5</v>
      </c>
      <c r="D66" s="36" t="s">
        <v>28</v>
      </c>
      <c r="E66" s="32" t="e">
        <f t="shared" si="5"/>
        <v>#N/A</v>
      </c>
      <c r="H66" s="35">
        <v>4.65</v>
      </c>
      <c r="I66" s="36" t="s">
        <v>26</v>
      </c>
      <c r="J66" s="79" t="s">
        <v>12</v>
      </c>
    </row>
    <row r="67" ht="18.75" customHeight="1" spans="2:10">
      <c r="B67" s="35" t="s">
        <v>17</v>
      </c>
      <c r="C67" s="36">
        <v>6.5</v>
      </c>
      <c r="D67" s="36" t="s">
        <v>29</v>
      </c>
      <c r="E67" s="32" t="str">
        <f t="shared" si="5"/>
        <v>Card</v>
      </c>
      <c r="H67" s="41">
        <v>12.85</v>
      </c>
      <c r="I67" s="42" t="s">
        <v>25</v>
      </c>
      <c r="J67" s="81" t="s">
        <v>15</v>
      </c>
    </row>
    <row r="68" ht="15.25" spans="2:10">
      <c r="B68" s="35" t="s">
        <v>6</v>
      </c>
      <c r="C68" s="36">
        <v>8.75</v>
      </c>
      <c r="D68" s="36" t="s">
        <v>7</v>
      </c>
      <c r="E68" s="32" t="str">
        <f t="shared" si="5"/>
        <v>Cash</v>
      </c>
    </row>
    <row r="69" ht="15.25" spans="2:10">
      <c r="B69" s="35" t="s">
        <v>16</v>
      </c>
      <c r="C69" s="36">
        <v>4.65</v>
      </c>
      <c r="D69" s="36" t="s">
        <v>27</v>
      </c>
      <c r="E69" s="32" t="str">
        <f t="shared" si="5"/>
        <v>Card</v>
      </c>
      <c r="H69" s="66" t="s">
        <v>32</v>
      </c>
      <c r="I69" s="66"/>
      <c r="J69" s="66"/>
    </row>
    <row r="70" ht="18.75" customHeight="1" spans="2:10">
      <c r="B70" s="35" t="s">
        <v>6</v>
      </c>
      <c r="C70" s="36">
        <v>12.85</v>
      </c>
      <c r="D70" s="36" t="s">
        <v>7</v>
      </c>
      <c r="E70" s="32" t="str">
        <f t="shared" si="5"/>
        <v>Cash</v>
      </c>
      <c r="H70" s="66"/>
      <c r="I70" s="66"/>
      <c r="J70" s="66"/>
    </row>
    <row r="71" ht="15.25" spans="2:10">
      <c r="B71" s="35" t="s">
        <v>9</v>
      </c>
      <c r="C71" s="36">
        <v>8.25</v>
      </c>
      <c r="D71" s="36" t="s">
        <v>11</v>
      </c>
      <c r="E71" s="32" t="e">
        <f t="shared" si="5"/>
        <v>#N/A</v>
      </c>
    </row>
    <row r="72" ht="15.25" spans="2:10">
      <c r="B72" s="35" t="s">
        <v>10</v>
      </c>
      <c r="C72" s="36">
        <v>13.5</v>
      </c>
      <c r="D72" s="36" t="s">
        <v>14</v>
      </c>
      <c r="E72" s="32" t="e">
        <f t="shared" si="5"/>
        <v>#N/A</v>
      </c>
    </row>
    <row r="73" ht="15.25" spans="2:10">
      <c r="B73" s="41" t="s">
        <v>16</v>
      </c>
      <c r="C73" s="42">
        <v>9.95</v>
      </c>
      <c r="D73" s="42" t="s">
        <v>27</v>
      </c>
      <c r="E73" s="32" t="e">
        <f t="shared" si="5"/>
        <v>#N/A</v>
      </c>
    </row>
  </sheetData>
  <customSheetViews>
    <customSheetView guid="{FCA32F5E-79CF-42CC-B015-2CE7C7FCA9AA}" scale="120" showGridLines="0" topLeftCell="A2">
      <selection activeCell="D5" sqref="D5"/>
    </customSheetView>
    <customSheetView guid="{04B54AA8-A716-4FDC-A906-0E283DD373E2}" scale="120" showGridLines="0" topLeftCell="A19">
      <selection activeCell="D22" sqref="D22"/>
      <pageMargins left="0.7" right="0.7" top="0.75" bottom="0.75" header="0.3" footer="0.3"/>
      <pageSetup paperSize="1" orientation="portrait"/>
      <headerFooter/>
    </customSheetView>
    <customSheetView guid="{7B542DDE-0E6F-4C8F-80C5-CEF010784732}" scale="120" showGridLines="0" topLeftCell="A35">
      <selection activeCell="E38" sqref="E38"/>
      <pageMargins left="0.7" right="0.7" top="0.75" bottom="0.75" header="0.3" footer="0.3"/>
      <pageSetup paperSize="1" orientation="portrait"/>
      <headerFooter/>
    </customSheetView>
    <customSheetView guid="{6F539EE7-61A2-4CDA-91FB-DD74C23C05CB}" scale="120" showGridLines="0" topLeftCell="A53">
      <selection activeCell="E56" sqref="E56"/>
      <pageMargins left="0.7" right="0.7" top="0.75" bottom="0.75" header="0.3" footer="0.3"/>
      <pageSetup paperSize="1" orientation="portrait"/>
      <headerFooter/>
    </customSheetView>
    <customSheetView guid="{923C6DCC-F5BE-4CA9-A182-DDE75F299178}" scale="120" showGridLines="0" topLeftCell="A53">
      <selection activeCell="H54" sqref="H54:J54"/>
      <pageMargins left="0.7" right="0.7" top="0.75" bottom="0.75" header="0.3" footer="0.3"/>
      <pageSetup paperSize="1" orientation="portrait"/>
      <headerFooter/>
    </customSheetView>
    <customSheetView guid="{6A35FF51-71B2-4793-9150-7D8C799041DC}" scale="120" showGridLines="0" topLeftCell="A53">
      <selection activeCell="E56" sqref="E56"/>
      <pageMargins left="0.7" right="0.7" top="0.75" bottom="0.75" header="0.3" footer="0.3"/>
      <pageSetup paperSize="1" orientation="portrait"/>
      <headerFooter/>
    </customSheetView>
    <customSheetView guid="{C07F01D7-3CE0-47DE-B5E8-478D6A23D3E2}" scale="120" showGridLines="0" topLeftCell="A53">
      <selection activeCell="E56" sqref="E56"/>
      <pageMargins left="0.7" right="0.7" top="0.75" bottom="0.75" header="0.3" footer="0.3"/>
      <pageSetup paperSize="1" orientation="portrait"/>
      <headerFooter/>
    </customSheetView>
    <customSheetView guid="{714C269F-57A5-4954-8C62-CB87ECDF1E8D}" scale="120" showGridLines="0" topLeftCell="A53">
      <selection activeCell="E56" sqref="E56"/>
      <pageMargins left="0.7" right="0.7" top="0.75" bottom="0.75" header="0.3" footer="0.3"/>
      <pageSetup paperSize="1" orientation="portrait"/>
      <headerFooter/>
    </customSheetView>
    <customSheetView guid="{A9A39E8B-D628-4F43-9435-5AAF5C71CAA0}" scale="120" showGridLines="0" topLeftCell="A53">
      <selection activeCell="E56" sqref="E56"/>
      <pageMargins left="0.7" right="0.7" top="0.75" bottom="0.75" header="0.3" footer="0.3"/>
      <pageSetup paperSize="1" orientation="portrait"/>
      <headerFooter/>
    </customSheetView>
    <customSheetView guid="{8075095C-49D4-4A6A-AE11-97381CE6959D}" scale="120" showGridLines="0" topLeftCell="A53">
      <selection activeCell="E56" sqref="E56"/>
      <pageMargins left="0.7" right="0.7" top="0.75" bottom="0.75" header="0.3" footer="0.3"/>
      <pageSetup paperSize="1" orientation="portrait"/>
      <headerFooter/>
    </customSheetView>
    <customSheetView guid="{B479311F-4F86-42B7-BF79-621EA6E9FB08}" scale="120" showGridLines="0" topLeftCell="A53">
      <selection activeCell="E56" sqref="E56"/>
      <pageMargins left="0.7" right="0.7" top="0.75" bottom="0.75" header="0.3" footer="0.3"/>
      <pageSetup paperSize="1" orientation="portrait"/>
      <headerFooter/>
    </customSheetView>
    <customSheetView guid="{DDB4D3BD-A3A8-4E7D-B59C-2686AEBFE3F0}" scale="120" showGridLines="0" topLeftCell="A53">
      <selection activeCell="E56" sqref="E56"/>
      <pageMargins left="0.7" right="0.7" top="0.75" bottom="0.75" header="0.3" footer="0.3"/>
      <pageSetup paperSize="1" orientation="portrait"/>
      <headerFooter/>
    </customSheetView>
  </customSheetViews>
  <mergeCells count="12">
    <mergeCell ref="B3:E3"/>
    <mergeCell ref="H3:J3"/>
    <mergeCell ref="B22:E22"/>
    <mergeCell ref="H22:J22"/>
    <mergeCell ref="B40:E40"/>
    <mergeCell ref="H40:J40"/>
    <mergeCell ref="B60:E60"/>
    <mergeCell ref="H60:J60"/>
    <mergeCell ref="H29:J30"/>
    <mergeCell ref="H10:J11"/>
    <mergeCell ref="H49:J50"/>
    <mergeCell ref="H69:J70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autoPageBreaks="0"/>
  </sheetPr>
  <dimension ref="B3:J50"/>
  <sheetViews>
    <sheetView showGridLines="0" topLeftCell="A16" workbookViewId="0">
      <selection activeCell="F16" sqref="F16"/>
    </sheetView>
  </sheetViews>
  <sheetFormatPr defaultColWidth="9" defaultRowHeight="14.5"/>
  <cols>
    <col min="1" max="1" width="8.70909090909091" style="25" customWidth="1"/>
    <col min="2" max="3" width="17.1363636363636" style="25" customWidth="1"/>
    <col min="4" max="4" width="17.8545454545455" style="25" customWidth="1"/>
    <col min="5" max="5" width="9.13636363636364" style="25"/>
    <col min="6" max="6" width="9.57272727272727" style="25" customWidth="1"/>
    <col min="7" max="7" width="9.13636363636364" style="25"/>
    <col min="8" max="8" width="15.2818181818182" style="25" customWidth="1"/>
    <col min="9" max="9" width="23.2818181818182" style="25" customWidth="1"/>
    <col min="10" max="16384" width="9.13636363636364" style="25"/>
  </cols>
  <sheetData>
    <row r="3" ht="15.25"/>
    <row r="4" ht="15.25" spans="2:10">
      <c r="B4" s="26" t="s">
        <v>33</v>
      </c>
      <c r="C4" s="26" t="s">
        <v>34</v>
      </c>
      <c r="D4" s="27" t="s">
        <v>35</v>
      </c>
      <c r="H4" s="26" t="s">
        <v>36</v>
      </c>
      <c r="I4" s="27" t="s">
        <v>37</v>
      </c>
    </row>
    <row r="5" ht="15.25" spans="2:10">
      <c r="B5" s="30" t="s">
        <v>38</v>
      </c>
      <c r="C5" s="59">
        <v>44379</v>
      </c>
      <c r="D5" s="32">
        <f xml:space="preserve">VLOOKUP(C5,$H$5:$I$7,2,TRUE)</f>
        <v>400</v>
      </c>
      <c r="E5" s="25">
        <f xml:space="preserve">IFERROR(VLOOKUP(C5,$H$5:$I$7,2,TRUE),150)</f>
        <v>400</v>
      </c>
      <c r="F5" s="60">
        <f xml:space="preserve">VLOOKUP(C5,$H$5:$I$8,2,1)</f>
        <v>400</v>
      </c>
      <c r="H5" s="61">
        <v>43466</v>
      </c>
      <c r="I5" s="62">
        <v>150</v>
      </c>
    </row>
    <row r="6" ht="18.75" customHeight="1" spans="2:10">
      <c r="B6" s="35" t="s">
        <v>39</v>
      </c>
      <c r="C6" s="63">
        <v>44001</v>
      </c>
      <c r="D6" s="32">
        <f t="shared" ref="D6:D16" si="0" xml:space="preserve">VLOOKUP(C6,$H$5:$I$7,2,TRUE)</f>
        <v>250</v>
      </c>
      <c r="E6" s="25">
        <f t="shared" ref="E6:E16" si="1" xml:space="preserve">IFERROR(VLOOKUP(C6,$H$5:$I$7,2,TRUE),150)</f>
        <v>250</v>
      </c>
      <c r="F6" s="60">
        <f t="shared" ref="F6:F16" si="2" xml:space="preserve">VLOOKUP(C6,$H$5:$I$8,2,1)</f>
        <v>250</v>
      </c>
      <c r="H6" s="61">
        <v>43831</v>
      </c>
      <c r="I6" s="62">
        <v>250</v>
      </c>
    </row>
    <row r="7" ht="21" customHeight="1" spans="2:10">
      <c r="B7" s="35" t="s">
        <v>40</v>
      </c>
      <c r="C7" s="63">
        <v>44246</v>
      </c>
      <c r="D7" s="32">
        <f t="shared" si="0"/>
        <v>400</v>
      </c>
      <c r="E7" s="25">
        <f t="shared" si="1"/>
        <v>400</v>
      </c>
      <c r="F7" s="60">
        <f t="shared" si="2"/>
        <v>400</v>
      </c>
      <c r="H7" s="64">
        <v>44197</v>
      </c>
      <c r="I7" s="65">
        <v>400</v>
      </c>
    </row>
    <row r="8" ht="18.75" customHeight="1" spans="2:10">
      <c r="B8" s="35" t="s">
        <v>41</v>
      </c>
      <c r="C8" s="63">
        <v>44377</v>
      </c>
      <c r="D8" s="32">
        <f t="shared" si="0"/>
        <v>400</v>
      </c>
      <c r="E8" s="25">
        <f t="shared" si="1"/>
        <v>400</v>
      </c>
      <c r="F8" s="60">
        <f t="shared" si="2"/>
        <v>400</v>
      </c>
      <c r="I8" s="53"/>
    </row>
    <row r="9" ht="15.25" spans="2:10">
      <c r="B9" s="35" t="s">
        <v>42</v>
      </c>
      <c r="C9" s="63">
        <v>43983</v>
      </c>
      <c r="D9" s="32">
        <f t="shared" si="0"/>
        <v>250</v>
      </c>
      <c r="E9" s="25">
        <f t="shared" si="1"/>
        <v>250</v>
      </c>
      <c r="F9" s="60">
        <f t="shared" si="2"/>
        <v>250</v>
      </c>
    </row>
    <row r="10" ht="15.25" spans="2:10">
      <c r="B10" s="35" t="s">
        <v>43</v>
      </c>
      <c r="C10" s="63">
        <v>44220</v>
      </c>
      <c r="D10" s="32">
        <f t="shared" si="0"/>
        <v>400</v>
      </c>
      <c r="E10" s="25">
        <f t="shared" si="1"/>
        <v>400</v>
      </c>
      <c r="F10" s="60">
        <f t="shared" si="2"/>
        <v>400</v>
      </c>
      <c r="H10" s="66" t="s">
        <v>44</v>
      </c>
      <c r="I10" s="66"/>
      <c r="J10" s="66"/>
    </row>
    <row r="11" ht="15.25" spans="2:10">
      <c r="B11" s="35" t="s">
        <v>45</v>
      </c>
      <c r="C11" s="63">
        <v>44003</v>
      </c>
      <c r="D11" s="32">
        <f t="shared" si="0"/>
        <v>250</v>
      </c>
      <c r="E11" s="25">
        <f t="shared" si="1"/>
        <v>250</v>
      </c>
      <c r="F11" s="60">
        <f t="shared" si="2"/>
        <v>250</v>
      </c>
      <c r="H11" s="66"/>
      <c r="I11" s="66"/>
      <c r="J11" s="66"/>
    </row>
    <row r="12" ht="15.25" spans="2:10">
      <c r="B12" s="35" t="s">
        <v>46</v>
      </c>
      <c r="C12" s="63">
        <v>43985</v>
      </c>
      <c r="D12" s="32">
        <f t="shared" si="0"/>
        <v>250</v>
      </c>
      <c r="E12" s="25">
        <f t="shared" si="1"/>
        <v>250</v>
      </c>
      <c r="F12" s="60">
        <f t="shared" si="2"/>
        <v>250</v>
      </c>
      <c r="H12" s="43"/>
      <c r="I12" s="43"/>
      <c r="J12" s="43"/>
    </row>
    <row r="13" ht="15.25" spans="2:10">
      <c r="B13" s="35" t="s">
        <v>47</v>
      </c>
      <c r="C13" s="63">
        <v>43495</v>
      </c>
      <c r="D13" s="32">
        <f t="shared" si="0"/>
        <v>150</v>
      </c>
      <c r="E13" s="25">
        <f t="shared" si="1"/>
        <v>150</v>
      </c>
      <c r="F13" s="60">
        <f t="shared" si="2"/>
        <v>150</v>
      </c>
    </row>
    <row r="14" ht="18.75" customHeight="1" spans="2:10">
      <c r="B14" s="35" t="s">
        <v>48</v>
      </c>
      <c r="C14" s="63">
        <v>44271</v>
      </c>
      <c r="D14" s="32">
        <f t="shared" si="0"/>
        <v>400</v>
      </c>
      <c r="E14" s="25">
        <f t="shared" si="1"/>
        <v>400</v>
      </c>
      <c r="F14" s="60">
        <f t="shared" si="2"/>
        <v>400</v>
      </c>
    </row>
    <row r="15" ht="15.25" spans="2:10">
      <c r="B15" s="35" t="s">
        <v>49</v>
      </c>
      <c r="C15" s="63">
        <v>44730</v>
      </c>
      <c r="D15" s="32">
        <f t="shared" si="0"/>
        <v>400</v>
      </c>
      <c r="E15" s="25">
        <f t="shared" si="1"/>
        <v>400</v>
      </c>
      <c r="F15" s="60">
        <f t="shared" si="2"/>
        <v>400</v>
      </c>
    </row>
    <row r="16" ht="15.25" spans="2:10">
      <c r="B16" s="41" t="s">
        <v>50</v>
      </c>
      <c r="C16" s="67">
        <v>43215</v>
      </c>
      <c r="D16" s="32" t="e">
        <f t="shared" si="0"/>
        <v>#N/A</v>
      </c>
      <c r="E16" s="25">
        <f t="shared" si="1"/>
        <v>150</v>
      </c>
      <c r="F16" s="60" t="e">
        <f t="shared" si="2"/>
        <v>#N/A</v>
      </c>
    </row>
    <row r="19" ht="15.25"/>
    <row r="20" ht="15.25" spans="2:9">
      <c r="B20" s="26" t="s">
        <v>33</v>
      </c>
      <c r="C20" s="26" t="s">
        <v>51</v>
      </c>
      <c r="D20" s="27" t="s">
        <v>52</v>
      </c>
      <c r="H20" s="26" t="s">
        <v>33</v>
      </c>
      <c r="I20" s="27" t="s">
        <v>53</v>
      </c>
    </row>
    <row r="21" ht="15.25" spans="2:9">
      <c r="B21" s="30" t="s">
        <v>38</v>
      </c>
      <c r="C21" s="59">
        <f xml:space="preserve">VLOOKUP(B21,$H$21:$I$26,2,FALSE)</f>
        <v>44379</v>
      </c>
      <c r="D21" s="32">
        <f xml:space="preserve">VLOOKUP(C21,$H$29:$I$33,2,TRUE)</f>
        <v>100</v>
      </c>
      <c r="H21" s="36" t="s">
        <v>38</v>
      </c>
      <c r="I21" s="63">
        <v>44379</v>
      </c>
    </row>
    <row r="22" ht="15.25" spans="2:9">
      <c r="B22" s="35" t="s">
        <v>39</v>
      </c>
      <c r="C22" s="59">
        <f t="shared" ref="C22:C32" si="3" xml:space="preserve">VLOOKUP(B22,$H$21:$I$26,2,FALSE)</f>
        <v>44001</v>
      </c>
      <c r="D22" s="32">
        <f t="shared" ref="D22:D32" si="4" xml:space="preserve">VLOOKUP(C22,$H$29:$I$33,2,TRUE)</f>
        <v>500</v>
      </c>
      <c r="H22" s="36" t="s">
        <v>39</v>
      </c>
      <c r="I22" s="63">
        <v>44001</v>
      </c>
    </row>
    <row r="23" ht="15.25" spans="2:9">
      <c r="B23" s="35" t="s">
        <v>40</v>
      </c>
      <c r="C23" s="59" t="e">
        <f t="shared" si="3"/>
        <v>#N/A</v>
      </c>
      <c r="D23" s="32" t="e">
        <f t="shared" si="4"/>
        <v>#N/A</v>
      </c>
      <c r="H23" s="36" t="s">
        <v>42</v>
      </c>
      <c r="I23" s="63">
        <v>43983</v>
      </c>
    </row>
    <row r="24" ht="15.25" spans="2:9">
      <c r="B24" s="35" t="s">
        <v>41</v>
      </c>
      <c r="C24" s="59">
        <f t="shared" si="3"/>
        <v>44377</v>
      </c>
      <c r="D24" s="32">
        <f t="shared" si="4"/>
        <v>100</v>
      </c>
      <c r="H24" s="36" t="s">
        <v>41</v>
      </c>
      <c r="I24" s="63">
        <v>44377</v>
      </c>
    </row>
    <row r="25" ht="15.25" spans="2:9">
      <c r="B25" s="35" t="s">
        <v>42</v>
      </c>
      <c r="C25" s="59">
        <f t="shared" si="3"/>
        <v>43983</v>
      </c>
      <c r="D25" s="32">
        <f t="shared" si="4"/>
        <v>500</v>
      </c>
      <c r="H25" s="36" t="s">
        <v>46</v>
      </c>
      <c r="I25" s="63">
        <v>43985</v>
      </c>
    </row>
    <row r="26" ht="15.25" spans="2:9">
      <c r="B26" s="35" t="s">
        <v>43</v>
      </c>
      <c r="C26" s="59" t="e">
        <f t="shared" si="3"/>
        <v>#N/A</v>
      </c>
      <c r="D26" s="32" t="e">
        <f t="shared" si="4"/>
        <v>#N/A</v>
      </c>
      <c r="H26" s="36" t="s">
        <v>49</v>
      </c>
      <c r="I26" s="63">
        <v>44730</v>
      </c>
    </row>
    <row r="27" ht="15.25" spans="2:9">
      <c r="B27" s="35" t="s">
        <v>45</v>
      </c>
      <c r="C27" s="59" t="e">
        <f t="shared" si="3"/>
        <v>#N/A</v>
      </c>
      <c r="D27" s="32" t="e">
        <f t="shared" si="4"/>
        <v>#N/A</v>
      </c>
    </row>
    <row r="28" ht="15.25" spans="2:9">
      <c r="B28" s="35" t="s">
        <v>46</v>
      </c>
      <c r="C28" s="59">
        <f t="shared" si="3"/>
        <v>43985</v>
      </c>
      <c r="D28" s="32">
        <f t="shared" si="4"/>
        <v>500</v>
      </c>
      <c r="H28" s="26" t="s">
        <v>51</v>
      </c>
      <c r="I28" s="27" t="s">
        <v>52</v>
      </c>
    </row>
    <row r="29" ht="15.25" spans="2:9">
      <c r="B29" s="35" t="s">
        <v>47</v>
      </c>
      <c r="C29" s="59" t="e">
        <f t="shared" si="3"/>
        <v>#N/A</v>
      </c>
      <c r="D29" s="32" t="e">
        <f t="shared" si="4"/>
        <v>#N/A</v>
      </c>
      <c r="H29" s="63">
        <v>43466</v>
      </c>
      <c r="I29" s="68">
        <v>1000</v>
      </c>
    </row>
    <row r="30" ht="15.25" spans="2:9">
      <c r="B30" s="35" t="s">
        <v>48</v>
      </c>
      <c r="C30" s="59" t="e">
        <f t="shared" si="3"/>
        <v>#N/A</v>
      </c>
      <c r="D30" s="32" t="e">
        <f t="shared" si="4"/>
        <v>#N/A</v>
      </c>
      <c r="H30" s="63">
        <v>43831</v>
      </c>
      <c r="I30" s="68">
        <v>750</v>
      </c>
    </row>
    <row r="31" ht="15.25" spans="2:9">
      <c r="B31" s="35" t="s">
        <v>49</v>
      </c>
      <c r="C31" s="59">
        <f t="shared" si="3"/>
        <v>44730</v>
      </c>
      <c r="D31" s="32">
        <f t="shared" si="4"/>
        <v>100</v>
      </c>
      <c r="H31" s="63">
        <v>43983</v>
      </c>
      <c r="I31" s="68">
        <v>500</v>
      </c>
    </row>
    <row r="32" ht="15.25" spans="2:9">
      <c r="B32" s="41" t="s">
        <v>50</v>
      </c>
      <c r="C32" s="59" t="e">
        <f t="shared" si="3"/>
        <v>#N/A</v>
      </c>
      <c r="D32" s="32" t="e">
        <f t="shared" si="4"/>
        <v>#N/A</v>
      </c>
      <c r="H32" s="63">
        <v>44197</v>
      </c>
      <c r="I32" s="68">
        <v>250</v>
      </c>
    </row>
    <row r="33" spans="2:10">
      <c r="H33" s="63">
        <v>44348</v>
      </c>
      <c r="I33" s="68">
        <v>100</v>
      </c>
    </row>
    <row r="37" ht="15.25"/>
    <row r="38" ht="15.25" spans="2:10">
      <c r="B38" s="26" t="s">
        <v>33</v>
      </c>
      <c r="C38" s="26" t="s">
        <v>51</v>
      </c>
      <c r="D38" s="27" t="s">
        <v>52</v>
      </c>
    </row>
    <row r="39" ht="15.25" spans="2:10">
      <c r="B39" s="30" t="s">
        <v>38</v>
      </c>
      <c r="C39" s="59">
        <f xml:space="preserve">VLOOKUP(B39,Employee_Data!A1:B13,2,FALSE)</f>
        <v>44379</v>
      </c>
      <c r="D39" s="32">
        <f xml:space="preserve">VLOOKUP(C39,$H$29:$I$33,2,TRUE)</f>
        <v>100</v>
      </c>
    </row>
    <row r="40" ht="15.25" spans="2:10">
      <c r="B40" s="35" t="s">
        <v>39</v>
      </c>
      <c r="C40" s="63">
        <f xml:space="preserve">VLOOKUP(B40,Employee_Data!A2:B14,2,FALSE)</f>
        <v>44001</v>
      </c>
      <c r="D40" s="32">
        <f t="shared" ref="D40:D50" si="5" xml:space="preserve">VLOOKUP(C40,$H$29:$I$33,2,TRUE)</f>
        <v>500</v>
      </c>
    </row>
    <row r="41" ht="15.25" spans="2:10">
      <c r="B41" s="35" t="s">
        <v>40</v>
      </c>
      <c r="C41" s="63">
        <f xml:space="preserve">VLOOKUP(B41,Employee_Data!A3:B15,2,FALSE)</f>
        <v>44246</v>
      </c>
      <c r="D41" s="32">
        <f t="shared" si="5"/>
        <v>250</v>
      </c>
    </row>
    <row r="42" ht="15.25" spans="2:10">
      <c r="B42" s="35" t="s">
        <v>41</v>
      </c>
      <c r="C42" s="63">
        <f xml:space="preserve">VLOOKUP(B42,Employee_Data!A4:B16,2,FALSE)</f>
        <v>44377</v>
      </c>
      <c r="D42" s="32">
        <f t="shared" si="5"/>
        <v>100</v>
      </c>
      <c r="H42" s="66" t="s">
        <v>44</v>
      </c>
      <c r="I42" s="66"/>
      <c r="J42" s="66"/>
    </row>
    <row r="43" ht="15.25" spans="2:10">
      <c r="B43" s="35" t="s">
        <v>42</v>
      </c>
      <c r="C43" s="63">
        <f xml:space="preserve">VLOOKUP(B43,Employee_Data!A5:B17,2,FALSE)</f>
        <v>43983</v>
      </c>
      <c r="D43" s="32">
        <f t="shared" si="5"/>
        <v>500</v>
      </c>
      <c r="H43" s="66"/>
      <c r="I43" s="66"/>
      <c r="J43" s="66"/>
    </row>
    <row r="44" ht="18.75" customHeight="1" spans="2:10">
      <c r="B44" s="35" t="s">
        <v>43</v>
      </c>
      <c r="C44" s="63">
        <f xml:space="preserve">VLOOKUP(B44,Employee_Data!A6:B18,2,FALSE)</f>
        <v>44220</v>
      </c>
      <c r="D44" s="32">
        <f t="shared" si="5"/>
        <v>250</v>
      </c>
      <c r="H44" s="25" t="s">
        <v>54</v>
      </c>
    </row>
    <row r="45" ht="15.25" spans="2:10">
      <c r="B45" s="35" t="s">
        <v>45</v>
      </c>
      <c r="C45" s="63">
        <f xml:space="preserve">VLOOKUP(B45,Employee_Data!A7:B19,2,FALSE)</f>
        <v>44003</v>
      </c>
      <c r="D45" s="32">
        <f t="shared" si="5"/>
        <v>500</v>
      </c>
    </row>
    <row r="46" ht="15.25" spans="2:10">
      <c r="B46" s="35" t="s">
        <v>46</v>
      </c>
      <c r="C46" s="63">
        <f xml:space="preserve">VLOOKUP(B46,Employee_Data!A8:B20,2,FALSE)</f>
        <v>43985</v>
      </c>
      <c r="D46" s="32">
        <f t="shared" si="5"/>
        <v>500</v>
      </c>
    </row>
    <row r="47" ht="15.25" spans="2:10">
      <c r="B47" s="35" t="s">
        <v>47</v>
      </c>
      <c r="C47" s="63">
        <f xml:space="preserve">VLOOKUP(B47,Employee_Data!A9:B21,2,FALSE)</f>
        <v>43495</v>
      </c>
      <c r="D47" s="32">
        <f t="shared" si="5"/>
        <v>1000</v>
      </c>
    </row>
    <row r="48" ht="15.25" spans="2:10">
      <c r="B48" s="35" t="s">
        <v>48</v>
      </c>
      <c r="C48" s="63">
        <f xml:space="preserve">VLOOKUP(B48,Employee_Data!A10:B22,2,FALSE)</f>
        <v>44271</v>
      </c>
      <c r="D48" s="32">
        <f t="shared" si="5"/>
        <v>250</v>
      </c>
    </row>
    <row r="49" ht="15.25" spans="2:4">
      <c r="B49" s="35" t="s">
        <v>49</v>
      </c>
      <c r="C49" s="63">
        <f xml:space="preserve">VLOOKUP(B49,Employee_Data!A11:B23,2,FALSE)</f>
        <v>44730</v>
      </c>
      <c r="D49" s="32">
        <f t="shared" si="5"/>
        <v>100</v>
      </c>
    </row>
    <row r="50" ht="15.25" spans="2:4">
      <c r="B50" s="41" t="s">
        <v>50</v>
      </c>
      <c r="C50" s="67">
        <f xml:space="preserve">VLOOKUP(B50,Employee_Data!A12:B24,2,FALSE)</f>
        <v>43215</v>
      </c>
      <c r="D50" s="32" t="e">
        <f t="shared" si="5"/>
        <v>#N/A</v>
      </c>
    </row>
  </sheetData>
  <customSheetViews>
    <customSheetView guid="{FCA32F5E-79CF-42CC-B015-2CE7C7FCA9AA}" scale="120" showGridLines="0" topLeftCell="A4">
      <selection activeCell="E13" sqref="E13"/>
    </customSheetView>
    <customSheetView guid="{04B54AA8-A716-4FDC-A906-0E283DD373E2}" scale="120" showGridLines="0" topLeftCell="A4">
      <selection activeCell="E13" sqref="E13"/>
      <pageMargins left="0.7" right="0.7" top="0.75" bottom="0.75" header="0.3" footer="0.3"/>
      <pageSetup paperSize="1" orientation="portrait"/>
      <headerFooter/>
    </customSheetView>
    <customSheetView guid="{7B542DDE-0E6F-4C8F-80C5-CEF010784732}" scale="120" showGridLines="0" topLeftCell="A4">
      <selection activeCell="E13" sqref="E13"/>
      <pageMargins left="0.7" right="0.7" top="0.75" bottom="0.75" header="0.3" footer="0.3"/>
      <pageSetup paperSize="1" orientation="portrait"/>
      <headerFooter/>
    </customSheetView>
    <customSheetView guid="{6F539EE7-61A2-4CDA-91FB-DD74C23C05CB}" scale="120" showGridLines="0" topLeftCell="A4">
      <selection activeCell="E13" sqref="E13"/>
      <pageMargins left="0.7" right="0.7" top="0.75" bottom="0.75" header="0.3" footer="0.3"/>
      <pageSetup paperSize="1" orientation="portrait"/>
      <headerFooter/>
    </customSheetView>
    <customSheetView guid="{923C6DCC-F5BE-4CA9-A182-DDE75F299178}" scale="120" showGridLines="0" topLeftCell="A3">
      <selection activeCell="D5" sqref="D5"/>
      <pageMargins left="0.7" right="0.7" top="0.75" bottom="0.75" header="0.3" footer="0.3"/>
      <pageSetup paperSize="1" orientation="portrait"/>
      <headerFooter/>
    </customSheetView>
    <customSheetView guid="{6A35FF51-71B2-4793-9150-7D8C799041DC}" scale="120" showGridLines="0" topLeftCell="A3">
      <selection activeCell="D5" sqref="D5"/>
      <pageMargins left="0.7" right="0.7" top="0.75" bottom="0.75" header="0.3" footer="0.3"/>
      <pageSetup paperSize="1" orientation="portrait"/>
      <headerFooter/>
    </customSheetView>
    <customSheetView guid="{C07F01D7-3CE0-47DE-B5E8-478D6A23D3E2}" scale="120" showGridLines="0" topLeftCell="A19">
      <selection activeCell="C21" sqref="C21"/>
      <pageMargins left="0.7" right="0.7" top="0.75" bottom="0.75" header="0.3" footer="0.3"/>
      <pageSetup paperSize="1" orientation="portrait"/>
      <headerFooter/>
    </customSheetView>
    <customSheetView guid="{714C269F-57A5-4954-8C62-CB87ECDF1E8D}" scale="120" showGridLines="0">
      <selection activeCell="H4" sqref="H4:I7"/>
      <pageMargins left="0.7" right="0.7" top="0.75" bottom="0.75" header="0.3" footer="0.3"/>
      <pageSetup paperSize="1" orientation="portrait"/>
      <headerFooter/>
    </customSheetView>
    <customSheetView guid="{A9A39E8B-D628-4F43-9435-5AAF5C71CAA0}" scale="120" showGridLines="0">
      <selection activeCell="H4" sqref="H4:I7"/>
      <pageMargins left="0.7" right="0.7" top="0.75" bottom="0.75" header="0.3" footer="0.3"/>
      <pageSetup paperSize="1" orientation="portrait"/>
      <headerFooter/>
    </customSheetView>
    <customSheetView guid="{8075095C-49D4-4A6A-AE11-97381CE6959D}" scale="120" showGridLines="0" topLeftCell="A37">
      <selection activeCell="C39" sqref="C39"/>
      <pageMargins left="0.7" right="0.7" top="0.75" bottom="0.75" header="0.3" footer="0.3"/>
      <pageSetup paperSize="1" orientation="portrait"/>
      <headerFooter/>
    </customSheetView>
    <customSheetView guid="{B479311F-4F86-42B7-BF79-621EA6E9FB08}" scale="120" showGridLines="0">
      <selection activeCell="H4" sqref="H4:I7"/>
      <pageMargins left="0.7" right="0.7" top="0.75" bottom="0.75" header="0.3" footer="0.3"/>
      <pageSetup paperSize="1" orientation="portrait"/>
      <headerFooter/>
    </customSheetView>
    <customSheetView guid="{DDB4D3BD-A3A8-4E7D-B59C-2686AEBFE3F0}" scale="120" showGridLines="0">
      <selection activeCell="H4" sqref="H4:I7"/>
      <pageMargins left="0.7" right="0.7" top="0.75" bottom="0.75" header="0.3" footer="0.3"/>
      <pageSetup paperSize="1" orientation="portrait"/>
      <headerFooter/>
    </customSheetView>
  </customSheetViews>
  <mergeCells count="3">
    <mergeCell ref="H12:J12"/>
    <mergeCell ref="H10:J11"/>
    <mergeCell ref="H42:J43"/>
  </mergeCells>
  <conditionalFormatting sqref="D5:D16">
    <cfRule type="expression" dxfId="0" priority="2">
      <formula>$D5=$F5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13"/>
  <sheetViews>
    <sheetView showGridLines="0" workbookViewId="0">
      <selection activeCell="E18" sqref="E18"/>
    </sheetView>
  </sheetViews>
  <sheetFormatPr defaultColWidth="9" defaultRowHeight="14.5"/>
  <cols>
    <col min="1" max="1" width="15.5727272727273" customWidth="1"/>
    <col min="2" max="2" width="14.7090909090909" customWidth="1"/>
    <col min="8" max="8" width="14.7090909090909" customWidth="1"/>
    <col min="9" max="9" width="17.8545454545455" customWidth="1"/>
  </cols>
  <sheetData>
    <row r="1" ht="18.5" spans="1:9">
      <c r="A1" s="54" t="s">
        <v>33</v>
      </c>
      <c r="B1" s="54" t="s">
        <v>51</v>
      </c>
      <c r="H1" s="54" t="s">
        <v>51</v>
      </c>
      <c r="I1" s="54" t="s">
        <v>52</v>
      </c>
    </row>
    <row r="2" ht="18.5" spans="1:9">
      <c r="A2" s="55" t="s">
        <v>38</v>
      </c>
      <c r="B2" s="56">
        <v>44379</v>
      </c>
      <c r="H2" s="56">
        <v>43466</v>
      </c>
      <c r="I2" s="57">
        <v>2500</v>
      </c>
    </row>
    <row r="3" ht="18.5" spans="1:9">
      <c r="A3" s="55" t="s">
        <v>39</v>
      </c>
      <c r="B3" s="56">
        <v>44001</v>
      </c>
      <c r="H3" s="56">
        <v>43831</v>
      </c>
      <c r="I3" s="57">
        <v>1500</v>
      </c>
    </row>
    <row r="4" ht="18.5" spans="1:9">
      <c r="A4" s="55" t="s">
        <v>40</v>
      </c>
      <c r="B4" s="56">
        <v>44246</v>
      </c>
      <c r="H4" s="56">
        <v>43983</v>
      </c>
      <c r="I4" s="57">
        <v>1000</v>
      </c>
    </row>
    <row r="5" ht="18.5" spans="1:9">
      <c r="A5" s="55" t="s">
        <v>41</v>
      </c>
      <c r="B5" s="56">
        <v>44377</v>
      </c>
      <c r="H5" s="56">
        <v>44197</v>
      </c>
      <c r="I5" s="57">
        <v>750</v>
      </c>
    </row>
    <row r="6" ht="18.5" spans="1:9">
      <c r="A6" s="55" t="s">
        <v>42</v>
      </c>
      <c r="B6" s="56">
        <v>43983</v>
      </c>
      <c r="H6" s="56">
        <v>44348</v>
      </c>
      <c r="I6" s="57">
        <v>500</v>
      </c>
    </row>
    <row r="7" ht="18.5" spans="1:9">
      <c r="A7" s="55" t="s">
        <v>43</v>
      </c>
      <c r="B7" s="56">
        <v>44220</v>
      </c>
      <c r="H7" s="56">
        <v>44348</v>
      </c>
      <c r="I7" s="58">
        <v>250</v>
      </c>
    </row>
    <row r="8" ht="18.5" spans="1:9">
      <c r="A8" s="55" t="s">
        <v>45</v>
      </c>
      <c r="B8" s="56">
        <v>44003</v>
      </c>
    </row>
    <row r="9" ht="18.5" spans="1:9">
      <c r="A9" s="55" t="s">
        <v>46</v>
      </c>
      <c r="B9" s="56">
        <v>43985</v>
      </c>
    </row>
    <row r="10" ht="18.5" spans="1:9">
      <c r="A10" s="55" t="s">
        <v>47</v>
      </c>
      <c r="B10" s="56">
        <v>43495</v>
      </c>
    </row>
    <row r="11" ht="18.5" spans="1:9">
      <c r="A11" s="55" t="s">
        <v>48</v>
      </c>
      <c r="B11" s="56">
        <v>44271</v>
      </c>
    </row>
    <row r="12" ht="18.5" spans="1:9">
      <c r="A12" s="55" t="s">
        <v>49</v>
      </c>
      <c r="B12" s="56">
        <v>44730</v>
      </c>
    </row>
    <row r="13" ht="18.5" spans="1:9">
      <c r="A13" s="55" t="s">
        <v>50</v>
      </c>
      <c r="B13" s="56">
        <v>43215</v>
      </c>
    </row>
  </sheetData>
  <customSheetViews>
    <customSheetView guid="{714C269F-57A5-4954-8C62-CB87ECDF1E8D}">
      <selection activeCell="F9" sqref="F9"/>
      <pageMargins left="0.7" right="0.7" top="0.75" bottom="0.75" header="0.3" footer="0.3"/>
      <headerFooter/>
    </customSheetView>
    <customSheetView guid="{A9A39E8B-D628-4F43-9435-5AAF5C71CAA0}">
      <selection activeCell="F9" sqref="F9"/>
      <pageMargins left="0.7" right="0.7" top="0.75" bottom="0.75" header="0.3" footer="0.3"/>
      <headerFooter/>
    </customSheetView>
    <customSheetView guid="{8075095C-49D4-4A6A-AE11-97381CE6959D}">
      <selection activeCell="F9" sqref="F9"/>
      <pageMargins left="0.7" right="0.7" top="0.75" bottom="0.75" header="0.3" footer="0.3"/>
      <headerFooter/>
    </customSheetView>
    <customSheetView guid="{B479311F-4F86-42B7-BF79-621EA6E9FB08}">
      <selection activeCell="F9" sqref="F9"/>
      <pageMargins left="0.7" right="0.7" top="0.75" bottom="0.75" header="0.3" footer="0.3"/>
      <headerFooter/>
    </customSheetView>
    <customSheetView guid="{DDB4D3BD-A3A8-4E7D-B59C-2686AEBFE3F0}">
      <selection activeCell="F9" sqref="F9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B3:I30"/>
  <sheetViews>
    <sheetView showGridLines="0" topLeftCell="B21" workbookViewId="0">
      <selection activeCell="K40" sqref="K40"/>
    </sheetView>
  </sheetViews>
  <sheetFormatPr defaultColWidth="9" defaultRowHeight="14.5"/>
  <cols>
    <col min="1" max="1" width="9.13636363636364" style="25"/>
    <col min="2" max="2" width="13.5727272727273" style="25" customWidth="1"/>
    <col min="3" max="3" width="12.4272727272727" style="25" customWidth="1"/>
    <col min="4" max="4" width="14.2818181818182" style="25" customWidth="1"/>
    <col min="5" max="5" width="28.1363636363636" style="25" customWidth="1"/>
    <col min="6" max="7" width="9.13636363636364" style="25"/>
    <col min="8" max="8" width="29.1363636363636" style="25" customWidth="1"/>
    <col min="9" max="9" width="17" style="25" customWidth="1"/>
    <col min="10" max="16384" width="9.13636363636364" style="25"/>
  </cols>
  <sheetData>
    <row r="3" ht="15.25"/>
    <row r="4" ht="15.25" spans="2:9">
      <c r="B4" s="26" t="s">
        <v>55</v>
      </c>
      <c r="C4" s="26" t="s">
        <v>56</v>
      </c>
      <c r="D4" s="26" t="s">
        <v>57</v>
      </c>
      <c r="E4" s="27" t="s">
        <v>58</v>
      </c>
      <c r="H4" s="26" t="s">
        <v>56</v>
      </c>
      <c r="I4" s="27" t="s">
        <v>59</v>
      </c>
    </row>
    <row r="5" ht="15.25" spans="2:9">
      <c r="B5" s="30" t="s">
        <v>60</v>
      </c>
      <c r="C5" s="31" t="s">
        <v>61</v>
      </c>
      <c r="D5" s="31">
        <v>787</v>
      </c>
      <c r="E5" s="48">
        <f xml:space="preserve">VLOOKUP(C5&amp;"*",$H$5:$I$8,2,FALSE)*D5</f>
        <v>98.375</v>
      </c>
      <c r="H5" s="36" t="s">
        <v>62</v>
      </c>
      <c r="I5" s="46">
        <v>0.125</v>
      </c>
    </row>
    <row r="6" ht="15.25" spans="2:9">
      <c r="B6" s="35" t="s">
        <v>63</v>
      </c>
      <c r="C6" s="36" t="s">
        <v>61</v>
      </c>
      <c r="D6" s="36">
        <v>457</v>
      </c>
      <c r="E6" s="48">
        <f t="shared" ref="E6:E13" si="0" xml:space="preserve">VLOOKUP(C6&amp;"*",$H$5:$I$8,2,FALSE)*D6</f>
        <v>57.125</v>
      </c>
      <c r="H6" s="36" t="s">
        <v>64</v>
      </c>
      <c r="I6" s="46">
        <v>0.17</v>
      </c>
    </row>
    <row r="7" ht="18.75" customHeight="1" spans="2:9">
      <c r="B7" s="35" t="s">
        <v>60</v>
      </c>
      <c r="C7" s="36" t="s">
        <v>65</v>
      </c>
      <c r="D7" s="36">
        <v>411</v>
      </c>
      <c r="E7" s="48">
        <f t="shared" si="0"/>
        <v>69.87</v>
      </c>
      <c r="H7" s="36" t="s">
        <v>66</v>
      </c>
      <c r="I7" s="46">
        <v>0.15</v>
      </c>
    </row>
    <row r="8" ht="15.25" spans="2:9">
      <c r="B8" s="35" t="s">
        <v>63</v>
      </c>
      <c r="C8" s="36" t="s">
        <v>65</v>
      </c>
      <c r="D8" s="36">
        <v>506</v>
      </c>
      <c r="E8" s="48">
        <f t="shared" si="0"/>
        <v>86.02</v>
      </c>
      <c r="H8" s="36" t="s">
        <v>67</v>
      </c>
      <c r="I8" s="46">
        <v>0.1</v>
      </c>
    </row>
    <row r="9" ht="15.25" spans="2:9">
      <c r="B9" s="35" t="s">
        <v>60</v>
      </c>
      <c r="C9" s="36" t="s">
        <v>68</v>
      </c>
      <c r="D9" s="36">
        <v>370</v>
      </c>
      <c r="E9" s="48">
        <f t="shared" si="0"/>
        <v>55.5</v>
      </c>
    </row>
    <row r="10" ht="15.25" spans="2:9">
      <c r="B10" s="35" t="s">
        <v>63</v>
      </c>
      <c r="C10" s="36" t="s">
        <v>68</v>
      </c>
      <c r="D10" s="36">
        <v>713</v>
      </c>
      <c r="E10" s="48">
        <f t="shared" si="0"/>
        <v>106.95</v>
      </c>
    </row>
    <row r="11" ht="18.75" customHeight="1" spans="2:9">
      <c r="B11" s="35" t="s">
        <v>60</v>
      </c>
      <c r="C11" s="36" t="s">
        <v>61</v>
      </c>
      <c r="D11" s="36">
        <v>346</v>
      </c>
      <c r="E11" s="48">
        <f t="shared" si="0"/>
        <v>43.25</v>
      </c>
      <c r="H11" s="47" t="s">
        <v>69</v>
      </c>
      <c r="I11" s="47"/>
    </row>
    <row r="12" ht="15.25" spans="2:9">
      <c r="B12" s="35" t="s">
        <v>63</v>
      </c>
      <c r="C12" s="36" t="s">
        <v>65</v>
      </c>
      <c r="D12" s="36">
        <v>691</v>
      </c>
      <c r="E12" s="48">
        <f t="shared" si="0"/>
        <v>117.47</v>
      </c>
      <c r="H12" s="47"/>
      <c r="I12" s="47"/>
    </row>
    <row r="13" ht="15.25" spans="2:9">
      <c r="B13" s="41" t="s">
        <v>63</v>
      </c>
      <c r="C13" s="42" t="s">
        <v>68</v>
      </c>
      <c r="D13" s="42">
        <v>461</v>
      </c>
      <c r="E13" s="48">
        <f t="shared" si="0"/>
        <v>69.15</v>
      </c>
    </row>
    <row r="20" ht="15.25"/>
    <row r="21" ht="15.25" spans="2:9">
      <c r="B21" s="26" t="s">
        <v>55</v>
      </c>
      <c r="C21" s="26" t="s">
        <v>56</v>
      </c>
      <c r="D21" s="26" t="s">
        <v>57</v>
      </c>
      <c r="E21" s="27" t="s">
        <v>58</v>
      </c>
      <c r="H21" s="26" t="s">
        <v>70</v>
      </c>
      <c r="I21" s="27" t="s">
        <v>58</v>
      </c>
    </row>
    <row r="22" ht="15.25" spans="2:9">
      <c r="B22" s="30" t="s">
        <v>60</v>
      </c>
      <c r="C22" s="31" t="s">
        <v>61</v>
      </c>
      <c r="D22" s="31">
        <v>787</v>
      </c>
      <c r="E22" s="49">
        <f xml:space="preserve">VLOOKUP(B22&amp;"*",$H$21:$I$23,2,FALSE)*D22</f>
        <v>94440</v>
      </c>
      <c r="H22" s="36" t="s">
        <v>71</v>
      </c>
      <c r="I22" s="50">
        <v>120</v>
      </c>
    </row>
    <row r="23" ht="15.25" spans="2:9">
      <c r="B23" s="35" t="s">
        <v>63</v>
      </c>
      <c r="C23" s="36" t="s">
        <v>61</v>
      </c>
      <c r="D23" s="36">
        <v>457</v>
      </c>
      <c r="E23" s="49">
        <f t="shared" ref="E23:E30" si="1" xml:space="preserve">VLOOKUP(B23&amp;"*",$H$21:$I$23,2,FALSE)*D23</f>
        <v>82260</v>
      </c>
      <c r="H23" s="36" t="s">
        <v>72</v>
      </c>
      <c r="I23" s="50">
        <v>180</v>
      </c>
    </row>
    <row r="24" ht="15.25" spans="2:9">
      <c r="B24" s="35" t="s">
        <v>60</v>
      </c>
      <c r="C24" s="36" t="s">
        <v>65</v>
      </c>
      <c r="D24" s="36">
        <v>411</v>
      </c>
      <c r="E24" s="49">
        <f t="shared" si="1"/>
        <v>49320</v>
      </c>
      <c r="H24" s="51"/>
      <c r="I24" s="52"/>
    </row>
    <row r="25" ht="15.25" spans="2:9">
      <c r="B25" s="35" t="s">
        <v>63</v>
      </c>
      <c r="C25" s="36" t="s">
        <v>65</v>
      </c>
      <c r="D25" s="36">
        <v>506</v>
      </c>
      <c r="E25" s="49">
        <f t="shared" si="1"/>
        <v>91080</v>
      </c>
      <c r="H25" s="51"/>
      <c r="I25" s="52"/>
    </row>
    <row r="26" ht="15.25" spans="2:9">
      <c r="B26" s="35" t="s">
        <v>60</v>
      </c>
      <c r="C26" s="36" t="s">
        <v>68</v>
      </c>
      <c r="D26" s="36">
        <v>370</v>
      </c>
      <c r="E26" s="49">
        <f t="shared" si="1"/>
        <v>44400</v>
      </c>
    </row>
    <row r="27" ht="15.25" spans="2:9">
      <c r="B27" s="35" t="s">
        <v>63</v>
      </c>
      <c r="C27" s="36" t="s">
        <v>68</v>
      </c>
      <c r="D27" s="36">
        <v>713</v>
      </c>
      <c r="E27" s="49">
        <f t="shared" si="1"/>
        <v>128340</v>
      </c>
    </row>
    <row r="28" ht="15.25" spans="2:9">
      <c r="B28" s="35" t="s">
        <v>60</v>
      </c>
      <c r="C28" s="36" t="s">
        <v>61</v>
      </c>
      <c r="D28" s="36">
        <v>346</v>
      </c>
      <c r="E28" s="49">
        <f t="shared" si="1"/>
        <v>41520</v>
      </c>
      <c r="H28" s="47" t="s">
        <v>73</v>
      </c>
      <c r="I28" s="47"/>
    </row>
    <row r="29" ht="15.25" spans="2:9">
      <c r="B29" s="35" t="s">
        <v>63</v>
      </c>
      <c r="C29" s="36" t="s">
        <v>65</v>
      </c>
      <c r="D29" s="36">
        <v>691</v>
      </c>
      <c r="E29" s="49">
        <f t="shared" si="1"/>
        <v>124380</v>
      </c>
      <c r="H29" s="47"/>
      <c r="I29" s="47"/>
    </row>
    <row r="30" ht="15.25" spans="2:9">
      <c r="B30" s="41" t="s">
        <v>63</v>
      </c>
      <c r="C30" s="42" t="s">
        <v>68</v>
      </c>
      <c r="D30" s="42">
        <v>461</v>
      </c>
      <c r="E30" s="49">
        <f t="shared" si="1"/>
        <v>82980</v>
      </c>
      <c r="H30" s="53" t="s">
        <v>74</v>
      </c>
      <c r="I30" s="53"/>
    </row>
  </sheetData>
  <customSheetViews>
    <customSheetView guid="{FCA32F5E-79CF-42CC-B015-2CE7C7FCA9AA}" scale="120" showGridLines="0" topLeftCell="A15">
      <selection activeCell="F20" sqref="F20"/>
    </customSheetView>
    <customSheetView guid="{04B54AA8-A716-4FDC-A906-0E283DD373E2}" scale="120" showGridLines="0" topLeftCell="A15">
      <selection activeCell="F20" sqref="F20"/>
      <pageMargins left="0.7" right="0.7" top="0.75" bottom="0.75" header="0.3" footer="0.3"/>
      <headerFooter/>
    </customSheetView>
    <customSheetView guid="{7B542DDE-0E6F-4C8F-80C5-CEF010784732}" scale="120" showGridLines="0" topLeftCell="A15">
      <selection activeCell="F20" sqref="F20"/>
      <pageMargins left="0.7" right="0.7" top="0.75" bottom="0.75" header="0.3" footer="0.3"/>
      <headerFooter/>
    </customSheetView>
    <customSheetView guid="{6F539EE7-61A2-4CDA-91FB-DD74C23C05CB}" scale="120" showGridLines="0" topLeftCell="A15">
      <selection activeCell="F20" sqref="F20"/>
      <pageMargins left="0.7" right="0.7" top="0.75" bottom="0.75" header="0.3" footer="0.3"/>
      <headerFooter/>
    </customSheetView>
    <customSheetView guid="{923C6DCC-F5BE-4CA9-A182-DDE75F299178}" scale="120" showGridLines="0" topLeftCell="A15">
      <selection activeCell="F20" sqref="F20"/>
      <pageMargins left="0.7" right="0.7" top="0.75" bottom="0.75" header="0.3" footer="0.3"/>
      <headerFooter/>
    </customSheetView>
    <customSheetView guid="{6A35FF51-71B2-4793-9150-7D8C799041DC}" scale="120" showGridLines="0" topLeftCell="A15">
      <selection activeCell="F20" sqref="F20"/>
      <pageMargins left="0.7" right="0.7" top="0.75" bottom="0.75" header="0.3" footer="0.3"/>
      <headerFooter/>
    </customSheetView>
    <customSheetView guid="{C07F01D7-3CE0-47DE-B5E8-478D6A23D3E2}" scale="120" showGridLines="0" topLeftCell="A15">
      <selection activeCell="F20" sqref="F20"/>
      <pageMargins left="0.7" right="0.7" top="0.75" bottom="0.75" header="0.3" footer="0.3"/>
      <headerFooter/>
    </customSheetView>
    <customSheetView guid="{714C269F-57A5-4954-8C62-CB87ECDF1E8D}" scale="120" showPageBreaks="1" showGridLines="0" topLeftCell="A2">
      <selection activeCell="E5" sqref="E5"/>
      <pageMargins left="0.7" right="0.7" top="0.75" bottom="0.75" header="0.3" footer="0.3"/>
      <pageSetup paperSize="1" orientation="portrait"/>
      <headerFooter/>
    </customSheetView>
    <customSheetView guid="{A9A39E8B-D628-4F43-9435-5AAF5C71CAA0}" scale="120" showPageBreaks="1" showGridLines="0" topLeftCell="A20">
      <selection activeCell="E22" sqref="E22"/>
      <pageMargins left="0.7" right="0.7" top="0.75" bottom="0.75" header="0.3" footer="0.3"/>
      <pageSetup paperSize="1" orientation="portrait"/>
      <headerFooter/>
    </customSheetView>
    <customSheetView guid="{8075095C-49D4-4A6A-AE11-97381CE6959D}" scale="120" showGridLines="0">
      <selection activeCell="F20" sqref="F20"/>
      <pageMargins left="0.7" right="0.7" top="0.75" bottom="0.75" header="0.3" footer="0.3"/>
      <headerFooter/>
    </customSheetView>
    <customSheetView guid="{B479311F-4F86-42B7-BF79-621EA6E9FB08}" scale="120" showPageBreaks="1" showGridLines="0" topLeftCell="A20">
      <selection activeCell="E22" sqref="E22"/>
      <pageMargins left="0.7" right="0.7" top="0.75" bottom="0.75" header="0.3" footer="0.3"/>
      <pageSetup paperSize="1" orientation="portrait"/>
      <headerFooter/>
    </customSheetView>
    <customSheetView guid="{DDB4D3BD-A3A8-4E7D-B59C-2686AEBFE3F0}" scale="120" showPageBreaks="1" showGridLines="0" topLeftCell="A20">
      <selection activeCell="E22" sqref="E22"/>
      <pageMargins left="0.7" right="0.7" top="0.75" bottom="0.75" header="0.3" footer="0.3"/>
      <pageSetup paperSize="1" orientation="portrait"/>
      <headerFooter/>
    </customSheetView>
  </customSheetViews>
  <mergeCells count="3">
    <mergeCell ref="H30:I30"/>
    <mergeCell ref="H11:I12"/>
    <mergeCell ref="H28:I29"/>
  </mergeCells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B1:I33"/>
  <sheetViews>
    <sheetView showGridLines="0" workbookViewId="0">
      <selection activeCell="H9" sqref="H9"/>
    </sheetView>
  </sheetViews>
  <sheetFormatPr defaultColWidth="9" defaultRowHeight="14.5"/>
  <cols>
    <col min="1" max="1" width="9.13636363636364" style="25"/>
    <col min="2" max="2" width="13.7090909090909" style="25" customWidth="1"/>
    <col min="3" max="3" width="15.7090909090909" style="25" customWidth="1"/>
    <col min="4" max="4" width="14.7090909090909" style="25" customWidth="1"/>
    <col min="5" max="5" width="22" style="25" customWidth="1"/>
    <col min="6" max="6" width="22.4272727272727" style="25" customWidth="1"/>
    <col min="7" max="7" width="16.1363636363636" style="25" customWidth="1"/>
    <col min="8" max="8" width="19" style="25" customWidth="1"/>
    <col min="9" max="9" width="17.5727272727273" style="25" customWidth="1"/>
    <col min="10" max="16384" width="9.13636363636364" style="25"/>
  </cols>
  <sheetData>
    <row r="1" ht="15.25"/>
    <row r="2" ht="15.25" spans="2:8">
      <c r="B2" s="26" t="s">
        <v>75</v>
      </c>
      <c r="C2" s="26" t="s">
        <v>76</v>
      </c>
      <c r="D2" s="27" t="s">
        <v>77</v>
      </c>
      <c r="G2" s="28" t="s">
        <v>78</v>
      </c>
      <c r="H2" s="29" t="s">
        <v>77</v>
      </c>
    </row>
    <row r="3" ht="21.6" customHeight="1" spans="2:8">
      <c r="B3" s="30" t="s">
        <v>79</v>
      </c>
      <c r="C3" s="31">
        <v>56</v>
      </c>
      <c r="D3" s="32" t="str">
        <f xml:space="preserve">VLOOKUP(C3,$G$2:$H$7,2,TRUE)</f>
        <v>Grade "E"</v>
      </c>
      <c r="G3" s="33">
        <v>35</v>
      </c>
      <c r="H3" s="34" t="s">
        <v>80</v>
      </c>
    </row>
    <row r="4" ht="21.6" customHeight="1" spans="2:8">
      <c r="B4" s="35" t="s">
        <v>81</v>
      </c>
      <c r="C4" s="36">
        <v>78</v>
      </c>
      <c r="D4" s="32" t="str">
        <f t="shared" ref="D4:D13" si="0" xml:space="preserve">VLOOKUP(C4,$G$2:$H$7,2,TRUE)</f>
        <v>Grade "C"</v>
      </c>
      <c r="G4" s="37">
        <v>60</v>
      </c>
      <c r="H4" s="38" t="s">
        <v>82</v>
      </c>
    </row>
    <row r="5" ht="21.6" customHeight="1" spans="2:8">
      <c r="B5" s="35" t="s">
        <v>83</v>
      </c>
      <c r="C5" s="36">
        <v>35</v>
      </c>
      <c r="D5" s="32" t="str">
        <f t="shared" si="0"/>
        <v>Grade "E"</v>
      </c>
      <c r="G5" s="37">
        <v>70</v>
      </c>
      <c r="H5" s="38" t="s">
        <v>84</v>
      </c>
    </row>
    <row r="6" ht="21.6" customHeight="1" spans="2:8">
      <c r="B6" s="35" t="s">
        <v>85</v>
      </c>
      <c r="C6" s="36">
        <v>12</v>
      </c>
      <c r="D6" s="32" t="e">
        <f t="shared" si="0"/>
        <v>#N/A</v>
      </c>
      <c r="G6" s="37">
        <v>80</v>
      </c>
      <c r="H6" s="38" t="s">
        <v>86</v>
      </c>
    </row>
    <row r="7" ht="21.6" customHeight="1" spans="2:8">
      <c r="B7" s="35" t="s">
        <v>87</v>
      </c>
      <c r="C7" s="36">
        <v>95</v>
      </c>
      <c r="D7" s="32" t="str">
        <f t="shared" si="0"/>
        <v>Grade "A"</v>
      </c>
      <c r="G7" s="39">
        <v>90</v>
      </c>
      <c r="H7" s="40" t="s">
        <v>88</v>
      </c>
    </row>
    <row r="8" ht="21.6" customHeight="1" spans="2:8">
      <c r="B8" s="35" t="s">
        <v>89</v>
      </c>
      <c r="C8" s="36">
        <v>74</v>
      </c>
      <c r="D8" s="32" t="str">
        <f t="shared" si="0"/>
        <v>Grade "C"</v>
      </c>
    </row>
    <row r="9" ht="21.6" customHeight="1" spans="2:8">
      <c r="B9" s="35" t="s">
        <v>90</v>
      </c>
      <c r="C9" s="36">
        <v>66</v>
      </c>
      <c r="D9" s="32" t="str">
        <f t="shared" si="0"/>
        <v>Grade "D"</v>
      </c>
    </row>
    <row r="10" ht="21.6" customHeight="1" spans="2:8">
      <c r="B10" s="35" t="s">
        <v>91</v>
      </c>
      <c r="C10" s="36">
        <v>43</v>
      </c>
      <c r="D10" s="32" t="str">
        <f t="shared" si="0"/>
        <v>Grade "E"</v>
      </c>
    </row>
    <row r="11" ht="21.6" customHeight="1" spans="2:8">
      <c r="B11" s="35" t="s">
        <v>45</v>
      </c>
      <c r="C11" s="36">
        <v>67</v>
      </c>
      <c r="D11" s="32" t="str">
        <f t="shared" si="0"/>
        <v>Grade "D"</v>
      </c>
    </row>
    <row r="12" ht="21.6" customHeight="1" spans="2:8">
      <c r="B12" s="35" t="s">
        <v>92</v>
      </c>
      <c r="C12" s="36">
        <v>98</v>
      </c>
      <c r="D12" s="32" t="str">
        <f t="shared" si="0"/>
        <v>Grade "A"</v>
      </c>
    </row>
    <row r="13" ht="21.6" customHeight="1" spans="2:8">
      <c r="B13" s="41" t="s">
        <v>93</v>
      </c>
      <c r="C13" s="42">
        <v>87</v>
      </c>
      <c r="D13" s="32" t="str">
        <f t="shared" si="0"/>
        <v>Grade "B"</v>
      </c>
    </row>
    <row r="14" ht="22.5" customHeight="1"/>
    <row r="15" ht="22.5" customHeight="1"/>
    <row r="20" ht="15.25"/>
    <row r="21" ht="15.25" spans="2:9">
      <c r="B21" s="26" t="s">
        <v>94</v>
      </c>
      <c r="C21" s="27" t="s">
        <v>95</v>
      </c>
      <c r="D21" s="27" t="s">
        <v>96</v>
      </c>
      <c r="E21" s="27" t="s">
        <v>97</v>
      </c>
      <c r="F21" s="27" t="s">
        <v>98</v>
      </c>
      <c r="H21" s="43" t="s">
        <v>99</v>
      </c>
      <c r="I21" s="43" t="s">
        <v>100</v>
      </c>
    </row>
    <row r="22" spans="2:9">
      <c r="B22" s="36" t="s">
        <v>38</v>
      </c>
      <c r="C22" s="36">
        <v>8000</v>
      </c>
      <c r="D22" s="36">
        <v>9500</v>
      </c>
      <c r="E22" s="44">
        <f xml:space="preserve">VLOOKUP(C22,$H$21:$I$26,2,TRUE)*C22</f>
        <v>560</v>
      </c>
      <c r="F22" s="45">
        <f xml:space="preserve">VLOOKUP(D22,$H$21:$I$26,2,TRUE)*D22</f>
        <v>665</v>
      </c>
      <c r="H22" s="36">
        <v>3500</v>
      </c>
      <c r="I22" s="46">
        <v>0</v>
      </c>
    </row>
    <row r="23" spans="2:9">
      <c r="B23" s="36" t="s">
        <v>39</v>
      </c>
      <c r="C23" s="36">
        <v>1300</v>
      </c>
      <c r="D23" s="36">
        <v>3500</v>
      </c>
      <c r="E23" s="44" t="e">
        <f t="shared" ref="E23:E33" si="1" xml:space="preserve">VLOOKUP(C23,$H$21:$I$26,2,TRUE)*C23</f>
        <v>#N/A</v>
      </c>
      <c r="F23" s="45">
        <f t="shared" ref="F23:F33" si="2" xml:space="preserve">VLOOKUP(D23,$H$21:$I$26,2,TRUE)*D23</f>
        <v>0</v>
      </c>
      <c r="H23" s="36">
        <v>5000</v>
      </c>
      <c r="I23" s="46">
        <v>0.03</v>
      </c>
    </row>
    <row r="24" spans="2:9">
      <c r="B24" s="36" t="s">
        <v>40</v>
      </c>
      <c r="C24" s="36">
        <v>13000</v>
      </c>
      <c r="D24" s="36">
        <v>1839</v>
      </c>
      <c r="E24" s="44">
        <f t="shared" si="1"/>
        <v>1105</v>
      </c>
      <c r="F24" s="45" t="e">
        <f t="shared" si="2"/>
        <v>#N/A</v>
      </c>
      <c r="H24" s="36">
        <v>8000</v>
      </c>
      <c r="I24" s="46">
        <v>0.07</v>
      </c>
    </row>
    <row r="25" spans="2:9">
      <c r="B25" s="36" t="s">
        <v>41</v>
      </c>
      <c r="C25" s="36">
        <v>300</v>
      </c>
      <c r="D25" s="36">
        <v>35000</v>
      </c>
      <c r="E25" s="44" t="e">
        <f t="shared" si="1"/>
        <v>#N/A</v>
      </c>
      <c r="F25" s="45">
        <f t="shared" si="2"/>
        <v>3500</v>
      </c>
      <c r="H25" s="36">
        <v>12000</v>
      </c>
      <c r="I25" s="46">
        <v>0.085</v>
      </c>
    </row>
    <row r="26" spans="2:9">
      <c r="B26" s="36" t="s">
        <v>42</v>
      </c>
      <c r="C26" s="36">
        <v>6500</v>
      </c>
      <c r="D26" s="36">
        <v>8900</v>
      </c>
      <c r="E26" s="44">
        <f t="shared" si="1"/>
        <v>195</v>
      </c>
      <c r="F26" s="45">
        <f t="shared" si="2"/>
        <v>623</v>
      </c>
      <c r="H26" s="36">
        <v>25000</v>
      </c>
      <c r="I26" s="46">
        <v>0.1</v>
      </c>
    </row>
    <row r="27" spans="2:9">
      <c r="B27" s="36" t="s">
        <v>43</v>
      </c>
      <c r="C27" s="36">
        <v>5300</v>
      </c>
      <c r="D27" s="36">
        <v>7350</v>
      </c>
      <c r="E27" s="44">
        <f t="shared" si="1"/>
        <v>159</v>
      </c>
      <c r="F27" s="45">
        <f t="shared" si="2"/>
        <v>220.5</v>
      </c>
    </row>
    <row r="28" ht="18.75" customHeight="1" spans="2:9">
      <c r="B28" s="36" t="s">
        <v>45</v>
      </c>
      <c r="C28" s="36">
        <v>8950</v>
      </c>
      <c r="D28" s="36">
        <v>2900</v>
      </c>
      <c r="E28" s="44">
        <f t="shared" si="1"/>
        <v>626.5</v>
      </c>
      <c r="F28" s="45" t="e">
        <f t="shared" si="2"/>
        <v>#N/A</v>
      </c>
      <c r="H28" s="47" t="s">
        <v>101</v>
      </c>
      <c r="I28" s="47"/>
    </row>
    <row r="29" spans="2:9">
      <c r="B29" s="36" t="s">
        <v>46</v>
      </c>
      <c r="C29" s="36">
        <v>17600</v>
      </c>
      <c r="D29" s="36">
        <v>8300</v>
      </c>
      <c r="E29" s="44">
        <f t="shared" si="1"/>
        <v>1496</v>
      </c>
      <c r="F29" s="45">
        <f t="shared" si="2"/>
        <v>581</v>
      </c>
      <c r="H29" s="47"/>
      <c r="I29" s="47"/>
    </row>
    <row r="30" spans="2:9">
      <c r="B30" s="36" t="s">
        <v>47</v>
      </c>
      <c r="C30" s="36">
        <v>11340</v>
      </c>
      <c r="D30" s="36">
        <v>4600</v>
      </c>
      <c r="E30" s="44">
        <f t="shared" si="1"/>
        <v>793.8</v>
      </c>
      <c r="F30" s="45">
        <f t="shared" si="2"/>
        <v>0</v>
      </c>
      <c r="H30" s="47"/>
      <c r="I30" s="47"/>
    </row>
    <row r="31" spans="2:9">
      <c r="B31" s="36" t="s">
        <v>48</v>
      </c>
      <c r="C31" s="36">
        <v>2600</v>
      </c>
      <c r="D31" s="36">
        <v>3200</v>
      </c>
      <c r="E31" s="44" t="e">
        <f t="shared" si="1"/>
        <v>#N/A</v>
      </c>
      <c r="F31" s="45" t="e">
        <f t="shared" si="2"/>
        <v>#N/A</v>
      </c>
    </row>
    <row r="32" spans="2:9">
      <c r="B32" s="36" t="s">
        <v>49</v>
      </c>
      <c r="C32" s="36">
        <v>4300</v>
      </c>
      <c r="D32" s="36">
        <v>1700</v>
      </c>
      <c r="E32" s="44">
        <f t="shared" si="1"/>
        <v>0</v>
      </c>
      <c r="F32" s="45" t="e">
        <f t="shared" si="2"/>
        <v>#N/A</v>
      </c>
    </row>
    <row r="33" spans="2:6">
      <c r="B33" s="36" t="s">
        <v>50</v>
      </c>
      <c r="C33" s="36">
        <v>7600</v>
      </c>
      <c r="D33" s="36">
        <v>9200</v>
      </c>
      <c r="E33" s="44">
        <f t="shared" si="1"/>
        <v>228</v>
      </c>
      <c r="F33" s="45">
        <f t="shared" si="2"/>
        <v>644</v>
      </c>
    </row>
  </sheetData>
  <sortState ref="G3:H7">
    <sortCondition ref="G3"/>
  </sortState>
  <customSheetViews>
    <customSheetView guid="{FCA32F5E-79CF-42CC-B015-2CE7C7FCA9AA}" scale="120" showGridLines="0" topLeftCell="A38">
      <selection activeCell="F31" sqref="F31"/>
    </customSheetView>
    <customSheetView guid="{04B54AA8-A716-4FDC-A906-0E283DD373E2}" scale="120" showGridLines="0" topLeftCell="A38">
      <selection activeCell="F31" sqref="F31"/>
      <pageMargins left="0.7" right="0.7" top="0.75" bottom="0.75" header="0.3" footer="0.3"/>
      <pageSetup paperSize="1" orientation="portrait"/>
      <headerFooter/>
    </customSheetView>
    <customSheetView guid="{7B542DDE-0E6F-4C8F-80C5-CEF010784732}" scale="120" showGridLines="0" topLeftCell="A38">
      <selection activeCell="F31" sqref="F31"/>
      <pageMargins left="0.7" right="0.7" top="0.75" bottom="0.75" header="0.3" footer="0.3"/>
      <pageSetup paperSize="1" orientation="portrait"/>
      <headerFooter/>
    </customSheetView>
    <customSheetView guid="{6F539EE7-61A2-4CDA-91FB-DD74C23C05CB}" scale="120" showGridLines="0" topLeftCell="A38">
      <selection activeCell="F31" sqref="F31"/>
      <pageMargins left="0.7" right="0.7" top="0.75" bottom="0.75" header="0.3" footer="0.3"/>
      <pageSetup paperSize="1" orientation="portrait"/>
      <headerFooter/>
    </customSheetView>
    <customSheetView guid="{923C6DCC-F5BE-4CA9-A182-DDE75F299178}" scale="120" showGridLines="0" topLeftCell="A38">
      <selection activeCell="F31" sqref="F31"/>
      <pageMargins left="0.7" right="0.7" top="0.75" bottom="0.75" header="0.3" footer="0.3"/>
      <pageSetup paperSize="1" orientation="portrait"/>
      <headerFooter/>
    </customSheetView>
    <customSheetView guid="{6A35FF51-71B2-4793-9150-7D8C799041DC}" scale="120" showGridLines="0" topLeftCell="A38">
      <selection activeCell="F31" sqref="F31"/>
      <pageMargins left="0.7" right="0.7" top="0.75" bottom="0.75" header="0.3" footer="0.3"/>
      <pageSetup paperSize="1" orientation="portrait"/>
      <headerFooter/>
    </customSheetView>
    <customSheetView guid="{C07F01D7-3CE0-47DE-B5E8-478D6A23D3E2}" scale="120" showGridLines="0" topLeftCell="A38">
      <selection activeCell="F31" sqref="F31"/>
      <pageMargins left="0.7" right="0.7" top="0.75" bottom="0.75" header="0.3" footer="0.3"/>
      <pageSetup paperSize="1" orientation="portrait"/>
      <headerFooter/>
    </customSheetView>
    <customSheetView guid="{714C269F-57A5-4954-8C62-CB87ECDF1E8D}" scale="120" showGridLines="0">
      <selection activeCell="D14" sqref="D14"/>
      <pageMargins left="0.7" right="0.7" top="0.75" bottom="0.75" header="0.3" footer="0.3"/>
      <pageSetup paperSize="1" orientation="portrait"/>
      <headerFooter/>
    </customSheetView>
    <customSheetView guid="{A9A39E8B-D628-4F43-9435-5AAF5C71CAA0}" scale="120" showGridLines="0">
      <selection activeCell="D14" sqref="D14"/>
      <pageMargins left="0.7" right="0.7" top="0.75" bottom="0.75" header="0.3" footer="0.3"/>
      <pageSetup paperSize="1" orientation="portrait"/>
      <headerFooter/>
    </customSheetView>
    <customSheetView guid="{8075095C-49D4-4A6A-AE11-97381CE6959D}" scale="120" showGridLines="0" topLeftCell="A38">
      <selection activeCell="D41" sqref="D41"/>
      <pageMargins left="0.7" right="0.7" top="0.75" bottom="0.75" header="0.3" footer="0.3"/>
      <pageSetup paperSize="1" orientation="portrait"/>
      <headerFooter/>
    </customSheetView>
    <customSheetView guid="{B479311F-4F86-42B7-BF79-621EA6E9FB08}" scale="120" showGridLines="0">
      <selection activeCell="D3" sqref="D3"/>
      <pageMargins left="0.7" right="0.7" top="0.75" bottom="0.75" header="0.3" footer="0.3"/>
      <pageSetup paperSize="1" orientation="portrait"/>
      <headerFooter/>
    </customSheetView>
    <customSheetView guid="{DDB4D3BD-A3A8-4E7D-B59C-2686AEBFE3F0}" scale="120" showGridLines="0" topLeftCell="A19">
      <selection activeCell="E22" sqref="E22"/>
      <pageMargins left="0.7" right="0.7" top="0.75" bottom="0.75" header="0.3" footer="0.3"/>
      <pageSetup paperSize="1" orientation="portrait"/>
      <headerFooter/>
    </customSheetView>
  </customSheetViews>
  <mergeCells count="1">
    <mergeCell ref="H28:I30"/>
  </mergeCells>
  <pageMargins left="0.7" right="0.7" top="0.75" bottom="0.75" header="0.3" footer="0.3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B4" sqref="B4"/>
    </sheetView>
  </sheetViews>
  <sheetFormatPr defaultColWidth="8.72727272727273" defaultRowHeight="14.5"/>
  <cols>
    <col min="1" max="1" width="12.2727272727273" customWidth="1"/>
    <col min="2" max="2" width="18.3636363636364" customWidth="1"/>
    <col min="3" max="3" width="7.54545454545455" customWidth="1"/>
    <col min="4" max="4" width="20.8181818181818" customWidth="1"/>
    <col min="5" max="5" width="14.0909090909091" customWidth="1"/>
    <col min="6" max="6" width="11.0909090909091" style="18" customWidth="1"/>
    <col min="7" max="7" width="11.6363636363636" style="18" customWidth="1"/>
    <col min="8" max="8" width="14.8181818181818" style="18" customWidth="1"/>
    <col min="9" max="9" width="12.3636363636364" style="18" customWidth="1"/>
    <col min="10" max="10" width="16.1818181818182" style="18" customWidth="1"/>
    <col min="11" max="11" width="16.1818181818182" customWidth="1"/>
  </cols>
  <sheetData>
    <row r="1" ht="15.5" spans="1:12">
      <c r="A1" s="19" t="s">
        <v>102</v>
      </c>
      <c r="B1" s="19" t="s">
        <v>103</v>
      </c>
      <c r="C1" s="19" t="s">
        <v>104</v>
      </c>
      <c r="D1" s="19" t="s">
        <v>105</v>
      </c>
      <c r="E1" s="19" t="s">
        <v>106</v>
      </c>
      <c r="F1" s="20" t="s">
        <v>107</v>
      </c>
      <c r="G1" s="20" t="s">
        <v>108</v>
      </c>
      <c r="H1" s="20" t="s">
        <v>109</v>
      </c>
      <c r="I1" s="20" t="s">
        <v>110</v>
      </c>
      <c r="J1" s="20" t="s">
        <v>111</v>
      </c>
      <c r="K1" s="19" t="s">
        <v>112</v>
      </c>
      <c r="L1" s="21"/>
    </row>
    <row r="2" spans="1:12">
      <c r="A2" s="22" t="s">
        <v>113</v>
      </c>
      <c r="B2" s="22" t="s">
        <v>114</v>
      </c>
      <c r="C2" s="22" t="s">
        <v>115</v>
      </c>
      <c r="D2" s="22" t="s">
        <v>116</v>
      </c>
      <c r="E2" s="22">
        <v>265</v>
      </c>
      <c r="F2" s="23">
        <v>4425.56</v>
      </c>
      <c r="G2" s="23">
        <v>224.43</v>
      </c>
      <c r="H2" s="23">
        <v>1844.75</v>
      </c>
      <c r="I2" s="23">
        <v>4201.13</v>
      </c>
      <c r="J2" s="23">
        <v>2356.38</v>
      </c>
      <c r="K2" s="24">
        <v>0.561</v>
      </c>
      <c r="L2" s="1"/>
    </row>
    <row r="3" spans="1:12">
      <c r="A3" s="22" t="s">
        <v>117</v>
      </c>
      <c r="B3" s="22" t="s">
        <v>118</v>
      </c>
      <c r="C3" s="22" t="s">
        <v>119</v>
      </c>
      <c r="D3" s="22" t="s">
        <v>120</v>
      </c>
      <c r="E3" s="22">
        <v>243</v>
      </c>
      <c r="F3" s="23">
        <v>9955.93</v>
      </c>
      <c r="G3" s="23">
        <v>711.36</v>
      </c>
      <c r="H3" s="23">
        <v>4538.65</v>
      </c>
      <c r="I3" s="23">
        <v>9244.57</v>
      </c>
      <c r="J3" s="23">
        <v>4705.92</v>
      </c>
      <c r="K3" s="24">
        <v>0.509</v>
      </c>
      <c r="L3" s="1"/>
    </row>
    <row r="4" spans="1:12">
      <c r="A4" s="22" t="s">
        <v>121</v>
      </c>
      <c r="B4" s="22" t="s">
        <v>122</v>
      </c>
      <c r="C4" s="22" t="s">
        <v>123</v>
      </c>
      <c r="D4" s="22" t="s">
        <v>124</v>
      </c>
      <c r="E4" s="22">
        <v>311</v>
      </c>
      <c r="F4" s="23">
        <v>9593.06</v>
      </c>
      <c r="G4" s="23">
        <v>858.5</v>
      </c>
      <c r="H4" s="23">
        <v>4143.16</v>
      </c>
      <c r="I4" s="23">
        <v>8734.56</v>
      </c>
      <c r="J4" s="23">
        <v>4591.4</v>
      </c>
      <c r="K4" s="24">
        <v>0.526</v>
      </c>
      <c r="L4" s="1"/>
    </row>
    <row r="5" spans="1:12">
      <c r="A5" s="22" t="s">
        <v>125</v>
      </c>
      <c r="B5" s="22" t="s">
        <v>126</v>
      </c>
      <c r="C5" s="22" t="s">
        <v>127</v>
      </c>
      <c r="D5" s="22" t="s">
        <v>128</v>
      </c>
      <c r="E5" s="22">
        <v>205</v>
      </c>
      <c r="F5" s="23">
        <v>12679.28</v>
      </c>
      <c r="G5" s="23">
        <v>1265.64</v>
      </c>
      <c r="H5" s="23">
        <v>6290.57</v>
      </c>
      <c r="I5" s="23">
        <v>11413.64</v>
      </c>
      <c r="J5" s="23">
        <v>5123.07</v>
      </c>
      <c r="K5" s="24">
        <v>0.449</v>
      </c>
      <c r="L5" s="1"/>
    </row>
    <row r="6" spans="1:12">
      <c r="A6" s="22" t="s">
        <v>129</v>
      </c>
      <c r="B6" s="22" t="s">
        <v>130</v>
      </c>
      <c r="C6" s="22" t="s">
        <v>115</v>
      </c>
      <c r="D6" s="22" t="s">
        <v>131</v>
      </c>
      <c r="E6" s="22">
        <v>122</v>
      </c>
      <c r="F6" s="23">
        <v>5276.02</v>
      </c>
      <c r="G6" s="23">
        <v>365.56</v>
      </c>
      <c r="H6" s="23">
        <v>2165.34</v>
      </c>
      <c r="I6" s="23">
        <v>4910.46</v>
      </c>
      <c r="J6" s="23">
        <v>2745.12</v>
      </c>
      <c r="K6" s="24">
        <v>0.559</v>
      </c>
      <c r="L6" s="1"/>
    </row>
    <row r="7" spans="1:12">
      <c r="A7" s="22" t="s">
        <v>132</v>
      </c>
      <c r="B7" s="22" t="s">
        <v>133</v>
      </c>
      <c r="C7" s="22" t="s">
        <v>134</v>
      </c>
      <c r="D7" s="22" t="s">
        <v>116</v>
      </c>
      <c r="E7" s="22">
        <v>372</v>
      </c>
      <c r="F7" s="23">
        <v>4423.68</v>
      </c>
      <c r="G7" s="23">
        <v>137.69</v>
      </c>
      <c r="H7" s="23">
        <v>1892.06</v>
      </c>
      <c r="I7" s="23">
        <v>4285.99</v>
      </c>
      <c r="J7" s="23">
        <v>2393.93</v>
      </c>
      <c r="K7" s="24">
        <v>0.558</v>
      </c>
      <c r="L7" s="1"/>
    </row>
    <row r="8" spans="1:12">
      <c r="A8" s="22" t="s">
        <v>135</v>
      </c>
      <c r="B8" s="22" t="s">
        <v>136</v>
      </c>
      <c r="C8" s="22" t="s">
        <v>119</v>
      </c>
      <c r="D8" s="22" t="s">
        <v>120</v>
      </c>
      <c r="E8" s="22">
        <v>170</v>
      </c>
      <c r="F8" s="23">
        <v>6011.15</v>
      </c>
      <c r="G8" s="23">
        <v>352.76</v>
      </c>
      <c r="H8" s="23">
        <v>2138.64</v>
      </c>
      <c r="I8" s="23">
        <v>5658.39</v>
      </c>
      <c r="J8" s="23">
        <v>3519.75</v>
      </c>
      <c r="K8" s="24">
        <v>0.622</v>
      </c>
      <c r="L8" s="1"/>
    </row>
    <row r="9" spans="1:12">
      <c r="A9" s="22" t="s">
        <v>137</v>
      </c>
      <c r="B9" s="22" t="s">
        <v>138</v>
      </c>
      <c r="C9" s="22" t="s">
        <v>123</v>
      </c>
      <c r="D9" s="22" t="s">
        <v>124</v>
      </c>
      <c r="E9" s="22">
        <v>165</v>
      </c>
      <c r="F9" s="23">
        <v>6582.56</v>
      </c>
      <c r="G9" s="23">
        <v>285.27</v>
      </c>
      <c r="H9" s="23">
        <v>2806.02</v>
      </c>
      <c r="I9" s="23">
        <v>6297.29</v>
      </c>
      <c r="J9" s="23">
        <v>3491.27</v>
      </c>
      <c r="K9" s="24">
        <v>0.554</v>
      </c>
      <c r="L9" s="1"/>
    </row>
    <row r="10" spans="1:12">
      <c r="A10" s="22" t="s">
        <v>139</v>
      </c>
      <c r="B10" s="22" t="s">
        <v>140</v>
      </c>
      <c r="C10" s="22" t="s">
        <v>127</v>
      </c>
      <c r="D10" s="22" t="s">
        <v>141</v>
      </c>
      <c r="E10" s="22">
        <v>344</v>
      </c>
      <c r="F10" s="23">
        <v>6509.11</v>
      </c>
      <c r="G10" s="23">
        <v>350.46</v>
      </c>
      <c r="H10" s="23">
        <v>2685.47</v>
      </c>
      <c r="I10" s="23">
        <v>6158.65</v>
      </c>
      <c r="J10" s="23">
        <v>3473.18</v>
      </c>
      <c r="K10" s="24">
        <v>0.564</v>
      </c>
      <c r="L10" s="1"/>
    </row>
    <row r="11" spans="1:12">
      <c r="A11" s="22" t="s">
        <v>142</v>
      </c>
      <c r="B11" s="22" t="s">
        <v>143</v>
      </c>
      <c r="C11" s="22" t="s">
        <v>134</v>
      </c>
      <c r="D11" s="22" t="s">
        <v>128</v>
      </c>
      <c r="E11" s="22">
        <v>144</v>
      </c>
      <c r="F11" s="23">
        <v>6405.33</v>
      </c>
      <c r="G11" s="23">
        <v>847.06</v>
      </c>
      <c r="H11" s="23">
        <v>3198.09</v>
      </c>
      <c r="I11" s="23">
        <v>5558.27</v>
      </c>
      <c r="J11" s="23">
        <v>2360.18</v>
      </c>
      <c r="K11" s="24">
        <v>0.425</v>
      </c>
      <c r="L11" s="1"/>
    </row>
    <row r="12" spans="1:12">
      <c r="A12" s="22" t="s">
        <v>144</v>
      </c>
      <c r="B12" s="22" t="s">
        <v>145</v>
      </c>
      <c r="C12" s="22" t="s">
        <v>123</v>
      </c>
      <c r="D12" s="22" t="s">
        <v>131</v>
      </c>
      <c r="E12" s="22">
        <v>183</v>
      </c>
      <c r="F12" s="23">
        <v>9705.78</v>
      </c>
      <c r="G12" s="23">
        <v>630.22</v>
      </c>
      <c r="H12" s="23">
        <v>3235.07</v>
      </c>
      <c r="I12" s="23">
        <v>9075.56</v>
      </c>
      <c r="J12" s="23">
        <v>5840.49</v>
      </c>
      <c r="K12" s="24">
        <v>0.644</v>
      </c>
      <c r="L12" s="1"/>
    </row>
    <row r="13" spans="1:12">
      <c r="A13" s="22" t="s">
        <v>146</v>
      </c>
      <c r="B13" s="22" t="s">
        <v>147</v>
      </c>
      <c r="C13" s="22" t="s">
        <v>119</v>
      </c>
      <c r="D13" s="22" t="s">
        <v>116</v>
      </c>
      <c r="E13" s="22">
        <v>358</v>
      </c>
      <c r="F13" s="23">
        <v>7912.32</v>
      </c>
      <c r="G13" s="23">
        <v>179.59</v>
      </c>
      <c r="H13" s="23">
        <v>2469.45</v>
      </c>
      <c r="I13" s="23">
        <v>7732.73</v>
      </c>
      <c r="J13" s="23">
        <v>5263.28</v>
      </c>
      <c r="K13" s="24">
        <v>0.681</v>
      </c>
      <c r="L13" s="1"/>
    </row>
    <row r="14" spans="1:12">
      <c r="A14" s="22" t="s">
        <v>148</v>
      </c>
      <c r="B14" s="22" t="s">
        <v>149</v>
      </c>
      <c r="C14" s="22" t="s">
        <v>115</v>
      </c>
      <c r="D14" s="22" t="s">
        <v>124</v>
      </c>
      <c r="E14" s="22">
        <v>142</v>
      </c>
      <c r="F14" s="23">
        <v>5601.11</v>
      </c>
      <c r="G14" s="23">
        <v>475.72</v>
      </c>
      <c r="H14" s="23">
        <v>2364.53</v>
      </c>
      <c r="I14" s="23">
        <v>5125.39</v>
      </c>
      <c r="J14" s="23">
        <v>2760.86</v>
      </c>
      <c r="K14" s="24">
        <v>0.539</v>
      </c>
      <c r="L14" s="1"/>
    </row>
    <row r="15" spans="1:12">
      <c r="A15" s="22" t="s">
        <v>150</v>
      </c>
      <c r="B15" s="22" t="s">
        <v>151</v>
      </c>
      <c r="C15" s="22" t="s">
        <v>127</v>
      </c>
      <c r="D15" s="22" t="s">
        <v>120</v>
      </c>
      <c r="E15" s="22">
        <v>208</v>
      </c>
      <c r="F15" s="23">
        <v>8933.96</v>
      </c>
      <c r="G15" s="23">
        <v>324.93</v>
      </c>
      <c r="H15" s="23">
        <v>3603.81</v>
      </c>
      <c r="I15" s="23">
        <v>8609.03</v>
      </c>
      <c r="J15" s="23">
        <v>5005.22</v>
      </c>
      <c r="K15" s="24">
        <v>0.581</v>
      </c>
      <c r="L15" s="1"/>
    </row>
    <row r="16" spans="1:12">
      <c r="A16" s="22" t="s">
        <v>152</v>
      </c>
      <c r="B16" s="22" t="s">
        <v>153</v>
      </c>
      <c r="C16" s="22" t="s">
        <v>134</v>
      </c>
      <c r="D16" s="22" t="s">
        <v>141</v>
      </c>
      <c r="E16" s="22">
        <v>239</v>
      </c>
      <c r="F16" s="23">
        <v>6178.25</v>
      </c>
      <c r="G16" s="23">
        <v>298.87</v>
      </c>
      <c r="H16" s="23">
        <v>2547.14</v>
      </c>
      <c r="I16" s="23">
        <v>5879.38</v>
      </c>
      <c r="J16" s="23">
        <v>3332.24</v>
      </c>
      <c r="K16" s="24">
        <v>0.567</v>
      </c>
      <c r="L16" s="1"/>
    </row>
    <row r="17" spans="1:12">
      <c r="A17" s="22" t="s">
        <v>154</v>
      </c>
      <c r="B17" s="22" t="s">
        <v>155</v>
      </c>
      <c r="C17" s="22" t="s">
        <v>119</v>
      </c>
      <c r="D17" s="22" t="s">
        <v>128</v>
      </c>
      <c r="E17" s="22">
        <v>184</v>
      </c>
      <c r="F17" s="23">
        <v>11510.37</v>
      </c>
      <c r="G17" s="23">
        <v>1181.25</v>
      </c>
      <c r="H17" s="23">
        <v>5588.83</v>
      </c>
      <c r="I17" s="23">
        <v>10329.12</v>
      </c>
      <c r="J17" s="23">
        <v>4740.29</v>
      </c>
      <c r="K17" s="24">
        <v>0.459</v>
      </c>
      <c r="L17" s="1"/>
    </row>
    <row r="18" spans="1:12">
      <c r="A18" s="22" t="s">
        <v>156</v>
      </c>
      <c r="B18" s="22" t="s">
        <v>157</v>
      </c>
      <c r="C18" s="22" t="s">
        <v>127</v>
      </c>
      <c r="D18" s="22" t="s">
        <v>131</v>
      </c>
      <c r="E18" s="22">
        <v>137</v>
      </c>
      <c r="F18" s="23">
        <v>7010.35</v>
      </c>
      <c r="G18" s="23">
        <v>437.1</v>
      </c>
      <c r="H18" s="23">
        <v>3204.59</v>
      </c>
      <c r="I18" s="23">
        <v>6573.25</v>
      </c>
      <c r="J18" s="23">
        <v>3368.66</v>
      </c>
      <c r="K18" s="24">
        <v>0.512</v>
      </c>
      <c r="L18" s="1"/>
    </row>
    <row r="19" spans="1:12">
      <c r="A19" s="22" t="s">
        <v>158</v>
      </c>
      <c r="B19" s="22" t="s">
        <v>159</v>
      </c>
      <c r="C19" s="22" t="s">
        <v>134</v>
      </c>
      <c r="D19" s="22" t="s">
        <v>131</v>
      </c>
      <c r="E19" s="22">
        <v>215</v>
      </c>
      <c r="F19" s="23">
        <v>8435.78</v>
      </c>
      <c r="G19" s="23">
        <v>349.53</v>
      </c>
      <c r="H19" s="23">
        <v>3490.56</v>
      </c>
      <c r="I19" s="23">
        <v>8086.25</v>
      </c>
      <c r="J19" s="23">
        <v>4595.69</v>
      </c>
      <c r="K19" s="24">
        <v>0.568</v>
      </c>
      <c r="L19" s="1"/>
    </row>
    <row r="20" spans="1:12">
      <c r="A20" s="22" t="s">
        <v>160</v>
      </c>
      <c r="B20" s="22" t="s">
        <v>161</v>
      </c>
      <c r="C20" s="22" t="s">
        <v>123</v>
      </c>
      <c r="D20" s="22" t="s">
        <v>124</v>
      </c>
      <c r="E20" s="22">
        <v>271</v>
      </c>
      <c r="F20" s="23">
        <v>10482.49</v>
      </c>
      <c r="G20" s="23">
        <v>532.99</v>
      </c>
      <c r="H20" s="23">
        <v>4704.5</v>
      </c>
      <c r="I20" s="23">
        <v>9949.5</v>
      </c>
      <c r="J20" s="23">
        <v>5245</v>
      </c>
      <c r="K20" s="24">
        <v>0.527</v>
      </c>
      <c r="L20" s="1"/>
    </row>
    <row r="21" spans="1:12">
      <c r="A21" s="22" t="s">
        <v>162</v>
      </c>
      <c r="B21" s="22" t="s">
        <v>163</v>
      </c>
      <c r="C21" s="22" t="s">
        <v>115</v>
      </c>
      <c r="D21" s="22" t="s">
        <v>131</v>
      </c>
      <c r="E21" s="22">
        <v>217</v>
      </c>
      <c r="F21" s="23">
        <v>8714.81</v>
      </c>
      <c r="G21" s="23">
        <v>594.96</v>
      </c>
      <c r="H21" s="23">
        <v>3674.3</v>
      </c>
      <c r="I21" s="23">
        <v>8119.85</v>
      </c>
      <c r="J21" s="23">
        <v>4445.55</v>
      </c>
      <c r="K21" s="24">
        <v>0.547</v>
      </c>
      <c r="L21" s="1"/>
    </row>
    <row r="22" spans="1:12">
      <c r="A22" s="22" t="s">
        <v>164</v>
      </c>
      <c r="B22" s="22" t="s">
        <v>165</v>
      </c>
      <c r="C22" s="22" t="s">
        <v>119</v>
      </c>
      <c r="D22" s="22" t="s">
        <v>141</v>
      </c>
      <c r="E22" s="22">
        <v>221</v>
      </c>
      <c r="F22" s="23">
        <v>4680.83</v>
      </c>
      <c r="G22" s="23">
        <v>188.22</v>
      </c>
      <c r="H22" s="23">
        <v>2012.98</v>
      </c>
      <c r="I22" s="23">
        <v>4492.61</v>
      </c>
      <c r="J22" s="23">
        <v>2479.63</v>
      </c>
      <c r="K22" s="24">
        <v>0.552</v>
      </c>
      <c r="L22" s="1"/>
    </row>
    <row r="23" spans="1:12">
      <c r="A23" s="22" t="s">
        <v>166</v>
      </c>
      <c r="B23" s="22" t="s">
        <v>167</v>
      </c>
      <c r="C23" s="22" t="s">
        <v>127</v>
      </c>
      <c r="D23" s="22" t="s">
        <v>128</v>
      </c>
      <c r="E23" s="22">
        <v>111</v>
      </c>
      <c r="F23" s="23">
        <v>7205.07</v>
      </c>
      <c r="G23" s="23">
        <v>687.45</v>
      </c>
      <c r="H23" s="23">
        <v>3467.27</v>
      </c>
      <c r="I23" s="23">
        <v>6517.62</v>
      </c>
      <c r="J23" s="23">
        <v>3050.35</v>
      </c>
      <c r="K23" s="24">
        <v>0.468</v>
      </c>
      <c r="L23" s="1"/>
    </row>
    <row r="24" spans="1:12">
      <c r="A24" s="22" t="s">
        <v>168</v>
      </c>
      <c r="B24" s="22" t="s">
        <v>169</v>
      </c>
      <c r="C24" s="22" t="s">
        <v>134</v>
      </c>
      <c r="D24" s="22" t="s">
        <v>128</v>
      </c>
      <c r="E24" s="22">
        <v>119</v>
      </c>
      <c r="F24" s="23">
        <v>6709.83</v>
      </c>
      <c r="G24" s="23">
        <v>474.58</v>
      </c>
      <c r="H24" s="23">
        <v>3022.25</v>
      </c>
      <c r="I24" s="23">
        <v>6235.25</v>
      </c>
      <c r="J24" s="23">
        <v>3213</v>
      </c>
      <c r="K24" s="24">
        <v>0.515</v>
      </c>
      <c r="L24" s="1"/>
    </row>
    <row r="25" spans="1:12">
      <c r="A25" s="22" t="s">
        <v>170</v>
      </c>
      <c r="B25" s="22" t="s">
        <v>171</v>
      </c>
      <c r="C25" s="22" t="s">
        <v>123</v>
      </c>
      <c r="D25" s="22" t="s">
        <v>116</v>
      </c>
      <c r="E25" s="22">
        <v>399</v>
      </c>
      <c r="F25" s="23">
        <v>5310.35</v>
      </c>
      <c r="G25" s="23">
        <v>93.36</v>
      </c>
      <c r="H25" s="23">
        <v>2210.44</v>
      </c>
      <c r="I25" s="23">
        <v>5216.99</v>
      </c>
      <c r="J25" s="23">
        <v>3006.55</v>
      </c>
      <c r="K25" s="24">
        <v>0.576</v>
      </c>
      <c r="L25" s="1"/>
    </row>
    <row r="26" spans="1:12">
      <c r="A26" s="22" t="s">
        <v>172</v>
      </c>
      <c r="B26" s="22" t="s">
        <v>173</v>
      </c>
      <c r="C26" s="22" t="s">
        <v>115</v>
      </c>
      <c r="D26" s="22" t="s">
        <v>124</v>
      </c>
      <c r="E26" s="22">
        <v>197</v>
      </c>
      <c r="F26" s="23">
        <v>7328.73</v>
      </c>
      <c r="G26" s="23">
        <v>384.95</v>
      </c>
      <c r="H26" s="23">
        <v>3081.8</v>
      </c>
      <c r="I26" s="23">
        <v>6943.78</v>
      </c>
      <c r="J26" s="23">
        <v>3861.98</v>
      </c>
      <c r="K26" s="24">
        <v>0.556</v>
      </c>
      <c r="L26" s="1"/>
    </row>
    <row r="27" spans="1:12">
      <c r="A27" s="22" t="s">
        <v>174</v>
      </c>
      <c r="B27" s="22" t="s">
        <v>175</v>
      </c>
      <c r="C27" s="22" t="s">
        <v>119</v>
      </c>
      <c r="D27" s="22" t="s">
        <v>120</v>
      </c>
      <c r="E27" s="22">
        <v>195</v>
      </c>
      <c r="F27" s="23">
        <v>7096.49</v>
      </c>
      <c r="G27" s="23">
        <v>785.01</v>
      </c>
      <c r="H27" s="23">
        <v>2857.77</v>
      </c>
      <c r="I27" s="23">
        <v>6311.48</v>
      </c>
      <c r="J27" s="23">
        <v>3453.71</v>
      </c>
      <c r="K27" s="24">
        <v>0.547</v>
      </c>
      <c r="L27" s="1"/>
    </row>
    <row r="28" spans="1:12">
      <c r="A28" s="22" t="s">
        <v>176</v>
      </c>
      <c r="B28" s="22" t="s">
        <v>177</v>
      </c>
      <c r="C28" s="22" t="s">
        <v>127</v>
      </c>
      <c r="D28" s="22" t="s">
        <v>141</v>
      </c>
      <c r="E28" s="22">
        <v>199</v>
      </c>
      <c r="F28" s="23">
        <v>5442.55</v>
      </c>
      <c r="G28" s="23">
        <v>391.71</v>
      </c>
      <c r="H28" s="23">
        <v>2344.01</v>
      </c>
      <c r="I28" s="23">
        <v>5050.84</v>
      </c>
      <c r="J28" s="23">
        <v>2706.83</v>
      </c>
      <c r="K28" s="24">
        <v>0.536</v>
      </c>
      <c r="L28" s="1"/>
    </row>
    <row r="29" spans="1:12">
      <c r="A29" s="22" t="s">
        <v>178</v>
      </c>
      <c r="B29" s="22" t="s">
        <v>179</v>
      </c>
      <c r="C29" s="22" t="s">
        <v>134</v>
      </c>
      <c r="D29" s="22" t="s">
        <v>128</v>
      </c>
      <c r="E29" s="22">
        <v>139</v>
      </c>
      <c r="F29" s="23">
        <v>8774.07</v>
      </c>
      <c r="G29" s="23">
        <v>701.38</v>
      </c>
      <c r="H29" s="23">
        <v>3943.26</v>
      </c>
      <c r="I29" s="23">
        <v>8072.69</v>
      </c>
      <c r="J29" s="23">
        <v>4129.43</v>
      </c>
      <c r="K29" s="24">
        <v>0.512</v>
      </c>
      <c r="L29" s="1"/>
    </row>
    <row r="30" spans="1:12">
      <c r="A30" s="22" t="s">
        <v>180</v>
      </c>
      <c r="B30" s="22" t="s">
        <v>181</v>
      </c>
      <c r="C30" s="22" t="s">
        <v>123</v>
      </c>
      <c r="D30" s="22" t="s">
        <v>131</v>
      </c>
      <c r="E30" s="22">
        <v>247</v>
      </c>
      <c r="F30" s="23">
        <v>12148.41</v>
      </c>
      <c r="G30" s="23">
        <v>539.14</v>
      </c>
      <c r="H30" s="23">
        <v>4807.87</v>
      </c>
      <c r="I30" s="23">
        <v>11609.27</v>
      </c>
      <c r="J30" s="23">
        <v>6801.4</v>
      </c>
      <c r="K30" s="24">
        <v>0.586</v>
      </c>
      <c r="L30" s="1"/>
    </row>
    <row r="31" spans="1:12">
      <c r="A31" s="22" t="s">
        <v>182</v>
      </c>
      <c r="B31" s="22" t="s">
        <v>183</v>
      </c>
      <c r="C31" s="22" t="s">
        <v>115</v>
      </c>
      <c r="D31" s="22" t="s">
        <v>131</v>
      </c>
      <c r="E31" s="22">
        <v>161</v>
      </c>
      <c r="F31" s="23">
        <v>6249.27</v>
      </c>
      <c r="G31" s="23">
        <v>481.22</v>
      </c>
      <c r="H31" s="23">
        <v>2232.45</v>
      </c>
      <c r="I31" s="23">
        <v>5768.05</v>
      </c>
      <c r="J31" s="23">
        <v>3535.6</v>
      </c>
      <c r="K31" s="24">
        <v>0.613</v>
      </c>
      <c r="L31" s="1"/>
    </row>
    <row r="32" spans="1:12">
      <c r="A32" s="22" t="s">
        <v>184</v>
      </c>
      <c r="B32" s="22" t="s">
        <v>185</v>
      </c>
      <c r="C32" s="22" t="s">
        <v>134</v>
      </c>
      <c r="D32" s="22" t="s">
        <v>124</v>
      </c>
      <c r="E32" s="22">
        <v>202</v>
      </c>
      <c r="F32" s="23">
        <v>8517.7</v>
      </c>
      <c r="G32" s="23">
        <v>465.56</v>
      </c>
      <c r="H32" s="23">
        <v>3440.86</v>
      </c>
      <c r="I32" s="23">
        <v>8052.14</v>
      </c>
      <c r="J32" s="23">
        <v>4611.28</v>
      </c>
      <c r="K32" s="24">
        <v>0.573</v>
      </c>
      <c r="L32" s="1"/>
    </row>
    <row r="33" spans="1:12">
      <c r="A33" s="22" t="s">
        <v>186</v>
      </c>
      <c r="B33" s="22" t="s">
        <v>187</v>
      </c>
      <c r="C33" s="22" t="s">
        <v>127</v>
      </c>
      <c r="D33" s="22" t="s">
        <v>120</v>
      </c>
      <c r="E33" s="22">
        <v>184</v>
      </c>
      <c r="F33" s="23">
        <v>7004.74</v>
      </c>
      <c r="G33" s="23">
        <v>758.83</v>
      </c>
      <c r="H33" s="23">
        <v>2909.7</v>
      </c>
      <c r="I33" s="23">
        <v>6245.91</v>
      </c>
      <c r="J33" s="23">
        <v>3336.21</v>
      </c>
      <c r="K33" s="24">
        <v>0.534</v>
      </c>
      <c r="L33" s="1"/>
    </row>
    <row r="34" spans="1:12">
      <c r="A34" s="22" t="s">
        <v>188</v>
      </c>
      <c r="B34" s="22" t="s">
        <v>189</v>
      </c>
      <c r="C34" s="22" t="s">
        <v>119</v>
      </c>
      <c r="D34" s="22" t="s">
        <v>141</v>
      </c>
      <c r="E34" s="22">
        <v>280</v>
      </c>
      <c r="F34" s="23">
        <v>6440.7</v>
      </c>
      <c r="G34" s="23">
        <v>322.54</v>
      </c>
      <c r="H34" s="23">
        <v>2812.46</v>
      </c>
      <c r="I34" s="23">
        <v>6118.16</v>
      </c>
      <c r="J34" s="23">
        <v>3305.7</v>
      </c>
      <c r="K34" s="24">
        <v>0.54</v>
      </c>
      <c r="L34" s="1"/>
    </row>
    <row r="35" spans="1:12">
      <c r="A35" s="22" t="s">
        <v>190</v>
      </c>
      <c r="B35" s="22" t="s">
        <v>191</v>
      </c>
      <c r="C35" s="22" t="s">
        <v>123</v>
      </c>
      <c r="D35" s="22" t="s">
        <v>128</v>
      </c>
      <c r="E35" s="22">
        <v>76</v>
      </c>
      <c r="F35" s="23">
        <v>5453.48</v>
      </c>
      <c r="G35" s="23">
        <v>587.55</v>
      </c>
      <c r="H35" s="23">
        <v>2280.99</v>
      </c>
      <c r="I35" s="23">
        <v>4865.93</v>
      </c>
      <c r="J35" s="23">
        <v>2584.94</v>
      </c>
      <c r="K35" s="24">
        <v>0.531</v>
      </c>
      <c r="L35" s="1"/>
    </row>
    <row r="36" spans="1:12">
      <c r="A36" s="22" t="s">
        <v>192</v>
      </c>
      <c r="B36" s="22" t="s">
        <v>193</v>
      </c>
      <c r="C36" s="22" t="s">
        <v>115</v>
      </c>
      <c r="D36" s="22" t="s">
        <v>131</v>
      </c>
      <c r="E36" s="22">
        <v>120</v>
      </c>
      <c r="F36" s="23">
        <v>6749.72</v>
      </c>
      <c r="G36" s="23">
        <v>607.73</v>
      </c>
      <c r="H36" s="23">
        <v>2856.48</v>
      </c>
      <c r="I36" s="23">
        <v>6141.99</v>
      </c>
      <c r="J36" s="23">
        <v>3285.51</v>
      </c>
      <c r="K36" s="24">
        <v>0.535</v>
      </c>
      <c r="L36" s="1"/>
    </row>
    <row r="37" spans="1:12">
      <c r="A37" s="22" t="s">
        <v>194</v>
      </c>
      <c r="B37" s="22" t="s">
        <v>195</v>
      </c>
      <c r="C37" s="22" t="s">
        <v>134</v>
      </c>
      <c r="D37" s="22" t="s">
        <v>116</v>
      </c>
      <c r="E37" s="22">
        <v>308</v>
      </c>
      <c r="F37" s="23">
        <v>6044.06</v>
      </c>
      <c r="G37" s="23">
        <v>142.33</v>
      </c>
      <c r="H37" s="23">
        <v>1866.83</v>
      </c>
      <c r="I37" s="23">
        <v>5901.73</v>
      </c>
      <c r="J37" s="23">
        <v>4034.9</v>
      </c>
      <c r="K37" s="24">
        <v>0.684</v>
      </c>
      <c r="L37" s="1"/>
    </row>
    <row r="38" spans="1:12">
      <c r="A38" s="22" t="s">
        <v>196</v>
      </c>
      <c r="B38" s="22" t="s">
        <v>197</v>
      </c>
      <c r="C38" s="22" t="s">
        <v>134</v>
      </c>
      <c r="D38" s="22" t="s">
        <v>131</v>
      </c>
      <c r="E38" s="22">
        <v>172</v>
      </c>
      <c r="F38" s="23">
        <v>8768.56</v>
      </c>
      <c r="G38" s="23">
        <v>337.03</v>
      </c>
      <c r="H38" s="23">
        <v>3089.95</v>
      </c>
      <c r="I38" s="23">
        <v>8431.53</v>
      </c>
      <c r="J38" s="23">
        <v>5341.58</v>
      </c>
      <c r="K38" s="24">
        <v>0.634</v>
      </c>
      <c r="L38" s="1"/>
    </row>
    <row r="39" spans="1:12">
      <c r="A39" s="22" t="s">
        <v>198</v>
      </c>
      <c r="B39" s="22" t="s">
        <v>199</v>
      </c>
      <c r="C39" s="22" t="s">
        <v>119</v>
      </c>
      <c r="D39" s="22" t="s">
        <v>120</v>
      </c>
      <c r="E39" s="22">
        <v>175</v>
      </c>
      <c r="F39" s="23">
        <v>8415.98</v>
      </c>
      <c r="G39" s="23">
        <v>808.38</v>
      </c>
      <c r="H39" s="23">
        <v>3372.65</v>
      </c>
      <c r="I39" s="23">
        <v>7607.6</v>
      </c>
      <c r="J39" s="23">
        <v>4234.95</v>
      </c>
      <c r="K39" s="24">
        <v>0.557</v>
      </c>
      <c r="L39" s="1"/>
    </row>
    <row r="40" spans="1:12">
      <c r="A40" s="22" t="s">
        <v>200</v>
      </c>
      <c r="B40" s="22" t="s">
        <v>201</v>
      </c>
      <c r="C40" s="22" t="s">
        <v>123</v>
      </c>
      <c r="D40" s="22" t="s">
        <v>141</v>
      </c>
      <c r="E40" s="22">
        <v>299</v>
      </c>
      <c r="F40" s="23">
        <v>6836.18</v>
      </c>
      <c r="G40" s="23">
        <v>404.58</v>
      </c>
      <c r="H40" s="23">
        <v>3215.27</v>
      </c>
      <c r="I40" s="23">
        <v>6431.6</v>
      </c>
      <c r="J40" s="23">
        <v>3216.33</v>
      </c>
      <c r="K40" s="24">
        <v>0.5</v>
      </c>
      <c r="L40" s="1"/>
    </row>
    <row r="41" spans="1:12">
      <c r="A41" s="22" t="s">
        <v>202</v>
      </c>
      <c r="B41" s="22" t="s">
        <v>203</v>
      </c>
      <c r="C41" s="22" t="s">
        <v>115</v>
      </c>
      <c r="D41" s="22" t="s">
        <v>128</v>
      </c>
      <c r="E41" s="22">
        <v>126</v>
      </c>
      <c r="F41" s="23">
        <v>5519.58</v>
      </c>
      <c r="G41" s="23">
        <v>458.92</v>
      </c>
      <c r="H41" s="23">
        <v>2540.8</v>
      </c>
      <c r="I41" s="23">
        <v>5060.66</v>
      </c>
      <c r="J41" s="23">
        <v>2519.86</v>
      </c>
      <c r="K41" s="24">
        <v>0.498</v>
      </c>
      <c r="L41" s="1"/>
    </row>
    <row r="42" spans="1:12">
      <c r="A42" s="22" t="s">
        <v>204</v>
      </c>
      <c r="B42" s="22" t="s">
        <v>205</v>
      </c>
      <c r="C42" s="22" t="s">
        <v>127</v>
      </c>
      <c r="D42" s="22" t="s">
        <v>131</v>
      </c>
      <c r="E42" s="22">
        <v>195</v>
      </c>
      <c r="F42" s="23">
        <v>9747.19</v>
      </c>
      <c r="G42" s="23">
        <v>935.9</v>
      </c>
      <c r="H42" s="23">
        <v>3961.73</v>
      </c>
      <c r="I42" s="23">
        <v>8811.29</v>
      </c>
      <c r="J42" s="23">
        <v>4849.56</v>
      </c>
      <c r="K42" s="24">
        <v>0.55</v>
      </c>
      <c r="L42" s="1"/>
    </row>
    <row r="43" spans="1:12">
      <c r="A43" s="22" t="s">
        <v>206</v>
      </c>
      <c r="B43" s="22" t="s">
        <v>207</v>
      </c>
      <c r="C43" s="22" t="s">
        <v>134</v>
      </c>
      <c r="D43" s="22" t="s">
        <v>128</v>
      </c>
      <c r="E43" s="22">
        <v>190</v>
      </c>
      <c r="F43" s="23">
        <v>8926.05</v>
      </c>
      <c r="G43" s="23">
        <v>1156.2</v>
      </c>
      <c r="H43" s="23">
        <v>3790.64</v>
      </c>
      <c r="I43" s="23">
        <v>7769.85</v>
      </c>
      <c r="J43" s="23">
        <v>3979.21</v>
      </c>
      <c r="K43" s="24">
        <v>0.512</v>
      </c>
      <c r="L43" s="1"/>
    </row>
    <row r="44" spans="1:12">
      <c r="A44" s="22" t="s">
        <v>208</v>
      </c>
      <c r="B44" s="22" t="s">
        <v>209</v>
      </c>
      <c r="C44" s="22" t="s">
        <v>119</v>
      </c>
      <c r="D44" s="22" t="s">
        <v>124</v>
      </c>
      <c r="E44" s="22">
        <v>155</v>
      </c>
      <c r="F44" s="23">
        <v>5683.98</v>
      </c>
      <c r="G44" s="23">
        <v>490.29</v>
      </c>
      <c r="H44" s="23">
        <v>2170.21</v>
      </c>
      <c r="I44" s="23">
        <v>5193.69</v>
      </c>
      <c r="J44" s="23">
        <v>3023.48</v>
      </c>
      <c r="K44" s="24">
        <v>0.582</v>
      </c>
      <c r="L44" s="1"/>
    </row>
    <row r="45" spans="1:12">
      <c r="A45" s="22" t="s">
        <v>210</v>
      </c>
      <c r="B45" s="22" t="s">
        <v>211</v>
      </c>
      <c r="C45" s="22" t="s">
        <v>123</v>
      </c>
      <c r="D45" s="22" t="s">
        <v>124</v>
      </c>
      <c r="E45" s="22">
        <v>286</v>
      </c>
      <c r="F45" s="23">
        <v>11769.95</v>
      </c>
      <c r="G45" s="23">
        <v>733.42</v>
      </c>
      <c r="H45" s="23">
        <v>5576.32</v>
      </c>
      <c r="I45" s="23">
        <v>11036.53</v>
      </c>
      <c r="J45" s="23">
        <v>5460.21</v>
      </c>
      <c r="K45" s="24">
        <v>0.495</v>
      </c>
      <c r="L45" s="1"/>
    </row>
    <row r="46" spans="1:12">
      <c r="A46" s="22" t="s">
        <v>212</v>
      </c>
      <c r="B46" s="22" t="s">
        <v>213</v>
      </c>
      <c r="C46" s="22" t="s">
        <v>119</v>
      </c>
      <c r="D46" s="22" t="s">
        <v>141</v>
      </c>
      <c r="E46" s="22">
        <v>374</v>
      </c>
      <c r="F46" s="23">
        <v>7863.22</v>
      </c>
      <c r="G46" s="23">
        <v>600.55</v>
      </c>
      <c r="H46" s="23">
        <v>3849.16</v>
      </c>
      <c r="I46" s="23">
        <v>7262.67</v>
      </c>
      <c r="J46" s="23">
        <v>3413.51</v>
      </c>
      <c r="K46" s="24">
        <v>0.47</v>
      </c>
      <c r="L46" s="1"/>
    </row>
    <row r="47" spans="1:12">
      <c r="A47" s="22" t="s">
        <v>214</v>
      </c>
      <c r="B47" s="22" t="s">
        <v>215</v>
      </c>
      <c r="C47" s="22" t="s">
        <v>115</v>
      </c>
      <c r="D47" s="22" t="s">
        <v>124</v>
      </c>
      <c r="E47" s="22">
        <v>221</v>
      </c>
      <c r="F47" s="23">
        <v>7946.56</v>
      </c>
      <c r="G47" s="23">
        <v>596.05</v>
      </c>
      <c r="H47" s="23">
        <v>3502.24</v>
      </c>
      <c r="I47" s="23">
        <v>7350.51</v>
      </c>
      <c r="J47" s="23">
        <v>3848.27</v>
      </c>
      <c r="K47" s="24">
        <v>0.524</v>
      </c>
      <c r="L47" s="1"/>
    </row>
    <row r="48" spans="1:12">
      <c r="A48" s="22" t="s">
        <v>216</v>
      </c>
      <c r="B48" s="22" t="s">
        <v>217</v>
      </c>
      <c r="C48" s="22" t="s">
        <v>134</v>
      </c>
      <c r="D48" s="22" t="s">
        <v>128</v>
      </c>
      <c r="E48" s="22">
        <v>170</v>
      </c>
      <c r="F48" s="23">
        <v>7949.49</v>
      </c>
      <c r="G48" s="23">
        <v>574.34</v>
      </c>
      <c r="H48" s="23">
        <v>3902.96</v>
      </c>
      <c r="I48" s="23">
        <v>7375.15</v>
      </c>
      <c r="J48" s="23">
        <v>3472.19</v>
      </c>
      <c r="K48" s="24">
        <v>0.471</v>
      </c>
      <c r="L48" s="1"/>
    </row>
    <row r="49" spans="1:12">
      <c r="A49" s="22" t="s">
        <v>218</v>
      </c>
      <c r="B49" s="22" t="s">
        <v>219</v>
      </c>
      <c r="C49" s="22" t="s">
        <v>127</v>
      </c>
      <c r="D49" s="22" t="s">
        <v>116</v>
      </c>
      <c r="E49" s="22">
        <v>266</v>
      </c>
      <c r="F49" s="23">
        <v>5090.85</v>
      </c>
      <c r="G49" s="23">
        <v>147.91</v>
      </c>
      <c r="H49" s="23">
        <v>1852.42</v>
      </c>
      <c r="I49" s="23">
        <v>4942.94</v>
      </c>
      <c r="J49" s="23">
        <v>3090.52</v>
      </c>
      <c r="K49" s="24">
        <v>0.625</v>
      </c>
      <c r="L49" s="1"/>
    </row>
    <row r="50" spans="1:12">
      <c r="A50" s="22" t="s">
        <v>220</v>
      </c>
      <c r="B50" s="22" t="s">
        <v>221</v>
      </c>
      <c r="C50" s="22" t="s">
        <v>115</v>
      </c>
      <c r="D50" s="22" t="s">
        <v>131</v>
      </c>
      <c r="E50" s="22">
        <v>198</v>
      </c>
      <c r="F50" s="23">
        <v>8250.75</v>
      </c>
      <c r="G50" s="23">
        <v>425.3</v>
      </c>
      <c r="H50" s="23">
        <v>3450.2</v>
      </c>
      <c r="I50" s="23">
        <v>7825.45</v>
      </c>
      <c r="J50" s="23">
        <v>4375.25</v>
      </c>
      <c r="K50" s="24">
        <v>0.559</v>
      </c>
      <c r="L50" s="1"/>
    </row>
    <row r="51" spans="1:12">
      <c r="A51" s="22" t="s">
        <v>222</v>
      </c>
      <c r="B51" s="22" t="s">
        <v>223</v>
      </c>
      <c r="C51" s="22" t="s">
        <v>119</v>
      </c>
      <c r="D51" s="22" t="s">
        <v>116</v>
      </c>
      <c r="E51" s="22">
        <v>285</v>
      </c>
      <c r="F51" s="23">
        <v>6120.5</v>
      </c>
      <c r="G51" s="23">
        <v>210.15</v>
      </c>
      <c r="H51" s="23">
        <v>1985.6</v>
      </c>
      <c r="I51" s="23">
        <v>5910.35</v>
      </c>
      <c r="J51" s="23">
        <v>3924.75</v>
      </c>
      <c r="K51" s="24">
        <v>0.664</v>
      </c>
      <c r="L51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opLeftCell="A6" workbookViewId="0">
      <selection activeCell="D16" sqref="D16"/>
    </sheetView>
  </sheetViews>
  <sheetFormatPr defaultColWidth="8.72727272727273" defaultRowHeight="14.5"/>
  <cols>
    <col min="1" max="1" width="26" customWidth="1"/>
    <col min="2" max="2" width="23.1818181818182" customWidth="1"/>
    <col min="3" max="3" width="17.1818181818182" customWidth="1"/>
    <col min="6" max="6" width="16.3636363636364" customWidth="1"/>
    <col min="7" max="7" width="10.1818181818182" customWidth="1"/>
    <col min="8" max="8" width="13.2727272727273" customWidth="1"/>
  </cols>
  <sheetData>
    <row r="1" ht="18.5" spans="1:11">
      <c r="A1" s="9" t="s">
        <v>224</v>
      </c>
      <c r="B1" s="9"/>
      <c r="C1" s="9"/>
      <c r="D1" s="9"/>
      <c r="E1" s="9"/>
      <c r="F1" s="9"/>
      <c r="G1" s="9"/>
      <c r="H1" s="9"/>
      <c r="I1" s="9"/>
      <c r="K1" s="10"/>
    </row>
    <row r="2" spans="1:11">
      <c r="A2" s="11" t="s">
        <v>225</v>
      </c>
      <c r="B2" s="11"/>
      <c r="C2" s="11"/>
      <c r="D2" s="11"/>
      <c r="E2" s="11"/>
      <c r="F2" s="11"/>
      <c r="G2" s="11"/>
      <c r="H2" s="11"/>
      <c r="K2" s="10"/>
    </row>
    <row r="4" ht="16.25" spans="1:11">
      <c r="A4" s="12" t="s">
        <v>226</v>
      </c>
      <c r="B4" s="13" t="s">
        <v>113</v>
      </c>
      <c r="F4" s="3" t="s">
        <v>227</v>
      </c>
      <c r="G4" s="3" t="s">
        <v>228</v>
      </c>
      <c r="H4" s="3" t="s">
        <v>229</v>
      </c>
    </row>
    <row r="5" ht="15.5" spans="1:11">
      <c r="A5" s="12"/>
      <c r="F5" s="3" t="str">
        <f xml:space="preserve">INDEX('Performance data'!A1:K51,15,2)</f>
        <v>Ethan Miller</v>
      </c>
      <c r="G5" s="3">
        <f xml:space="preserve">MATCH("Ethan Miller",'Performance data'!B1:B51,0)</f>
        <v>15</v>
      </c>
      <c r="H5" s="3">
        <f xml:space="preserve">MATCH(F5,'Performance data'!A15:K15,0)</f>
        <v>2</v>
      </c>
    </row>
    <row r="6" ht="15.5" spans="1:11">
      <c r="A6" s="12" t="s">
        <v>103</v>
      </c>
      <c r="B6" s="14" t="str" cm="1">
        <f t="array" ref="B6" xml:space="preserve">INDEX('Performance data'!$B$1:$B$51,MATCH($B$4,'Performance data'!$A$1:$A$51,0))</f>
        <v>James Mitchell</v>
      </c>
    </row>
    <row r="7" ht="15.5" spans="1:11">
      <c r="A7" s="12" t="s">
        <v>104</v>
      </c>
      <c r="B7" s="14" t="str" cm="1">
        <f t="array" ref="B7" xml:space="preserve">INDEX('Performance data'!$C$1:$C$51,MATCH($B$4,'Performance data'!$A$1:$A$51,0))</f>
        <v>North</v>
      </c>
    </row>
    <row r="8" ht="15.5" spans="1:11">
      <c r="A8" s="12" t="s">
        <v>105</v>
      </c>
      <c r="B8" s="14" t="str" cm="1">
        <f t="array" ref="B8" xml:space="preserve">INDEX('Performance data'!$D$1:$D$51,MATCH($B$4,'Performance data'!$A$1:$A$51,0))</f>
        <v>Accessories</v>
      </c>
    </row>
    <row r="9" ht="15.5" spans="1:11">
      <c r="A9" s="12" t="s">
        <v>106</v>
      </c>
      <c r="B9" s="15" cm="1">
        <f t="array" ref="B9" xml:space="preserve">INDEX('Performance data'!$E$1:$E$51,MATCH($B$4,'Performance data'!$A$1:$A$51,0))</f>
        <v>265</v>
      </c>
    </row>
    <row r="10" ht="15.5" spans="1:11">
      <c r="A10" s="12" t="s">
        <v>230</v>
      </c>
      <c r="B10" s="15" cm="1">
        <f t="array" ref="B10" xml:space="preserve">INDEX('Performance data'!$F$1:$F$51,MATCH($B$4,'Performance data'!$A$1:$A$51,0))</f>
        <v>4425.56</v>
      </c>
    </row>
    <row r="11" ht="15.5" spans="1:11">
      <c r="A11" s="12" t="s">
        <v>231</v>
      </c>
      <c r="B11" s="15" cm="1">
        <f t="array" ref="B11" xml:space="preserve">INDEX('Performance data'!$G$1:$G$51,MATCH($B$4,'Performance data'!$A$1:$A$51,0))</f>
        <v>224.43</v>
      </c>
    </row>
    <row r="12" ht="15.5" spans="1:11">
      <c r="A12" s="12" t="s">
        <v>232</v>
      </c>
      <c r="B12" s="15" cm="1">
        <f t="array" ref="B12" xml:space="preserve">INDEX('Performance data'!$I$1:$I$51,MATCH($B$4,'Performance data'!$A$1:$A$51,0))</f>
        <v>4201.13</v>
      </c>
    </row>
    <row r="13" ht="15.5" spans="1:11">
      <c r="A13" s="12" t="s">
        <v>233</v>
      </c>
      <c r="B13" s="16" cm="1">
        <f t="array" ref="B13" xml:space="preserve">INDEX('Performance data'!$K$1:$K$51,MATCH($B$4,'Performance data'!$A$1:$A$51,0))</f>
        <v>0.561</v>
      </c>
    </row>
    <row r="15" spans="1:11">
      <c r="A15" t="s">
        <v>234</v>
      </c>
    </row>
    <row r="16" ht="15.5" spans="1:11">
      <c r="A16" s="12" t="s">
        <v>235</v>
      </c>
      <c r="B16" s="17" t="s">
        <v>110</v>
      </c>
    </row>
    <row r="17" ht="15.5" spans="1:2">
      <c r="A17" s="12" t="s">
        <v>236</v>
      </c>
      <c r="B17" s="12" cm="1">
        <f t="array" ref="B17" xml:space="preserve">INDEX('Performance data'!$A$1:$K$51,MATCH($B$4,'Performance data'!$A$1:$A$51,0),MATCH($B$16,'Performance data'!$A$1:$K$1,0))</f>
        <v>4201.13</v>
      </c>
    </row>
    <row r="19" spans="1:2">
      <c r="A19" t="s">
        <v>237</v>
      </c>
      <c r="B19" t="s">
        <v>181</v>
      </c>
    </row>
  </sheetData>
  <mergeCells count="2">
    <mergeCell ref="A1:I1"/>
    <mergeCell ref="A2:H2"/>
  </mergeCells>
  <dataValidations count="2">
    <dataValidation type="list" allowBlank="1" showInputMessage="1" showErrorMessage="1" sqref="B4">
      <formula1>'Performance data'!$A$1:$A$51</formula1>
    </dataValidation>
    <dataValidation type="list" allowBlank="1" showInputMessage="1" showErrorMessage="1" sqref="B16">
      <formula1>'Performance data'!$F$1:$K$1</formula1>
    </dataValidation>
  </dataValidations>
  <pageMargins left="0.75" right="0.75" top="1" bottom="1" header="0.5" footer="0.5"/>
  <headerFooter/>
  <ignoredErrors>
    <ignoredError sqref="A6:A13 C7:K13 A14:K15 A16:A17 C16:K17 A18:K54 D6:K6 A5:E5 I4:K5 C4:E4 A4 A1:K3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7"/>
  <sheetViews>
    <sheetView tabSelected="1" topLeftCell="A36" workbookViewId="0">
      <selection activeCell="G48" sqref="G48"/>
    </sheetView>
  </sheetViews>
  <sheetFormatPr defaultColWidth="8.72727272727273" defaultRowHeight="14.5"/>
  <cols>
    <col min="2" max="2" width="7.63636363636364" customWidth="1"/>
    <col min="3" max="3" width="22.7272727272727" customWidth="1"/>
    <col min="4" max="4" width="16.4545454545455" customWidth="1"/>
    <col min="5" max="5" width="15.1818181818182" customWidth="1"/>
    <col min="6" max="6" width="19.8181818181818" customWidth="1"/>
    <col min="7" max="7" width="9" customWidth="1"/>
    <col min="8" max="9" width="8.81818181818182" customWidth="1"/>
    <col min="10" max="11" width="19.8181818181818" customWidth="1"/>
    <col min="12" max="14" width="9" customWidth="1"/>
    <col min="15" max="18" width="8.81818181818182" customWidth="1"/>
    <col min="19" max="21" width="9" customWidth="1"/>
  </cols>
  <sheetData>
    <row r="1" spans="1:13">
      <c r="E1" t="s">
        <v>238</v>
      </c>
    </row>
    <row r="2" spans="1:13">
      <c r="B2" s="1" t="s">
        <v>239</v>
      </c>
      <c r="C2" s="1" t="s">
        <v>240</v>
      </c>
      <c r="D2" s="1" t="s">
        <v>241</v>
      </c>
      <c r="E2" s="1" t="s">
        <v>242</v>
      </c>
      <c r="F2" s="1" t="s">
        <v>243</v>
      </c>
      <c r="G2" s="1" t="s">
        <v>59</v>
      </c>
      <c r="I2" s="1" t="s">
        <v>244</v>
      </c>
      <c r="J2" s="1" t="s">
        <v>59</v>
      </c>
      <c r="L2" s="1" t="s">
        <v>244</v>
      </c>
      <c r="M2" s="1" t="s">
        <v>243</v>
      </c>
    </row>
    <row r="3" spans="1:13">
      <c r="B3" s="1">
        <v>1</v>
      </c>
      <c r="C3" s="1" t="s">
        <v>245</v>
      </c>
      <c r="D3" s="1" t="s">
        <v>7</v>
      </c>
      <c r="E3" s="1">
        <v>311</v>
      </c>
      <c r="F3" s="1">
        <f xml:space="preserve">_xlfn.XLOOKUP(D3,$L$2:$L$8,$M$2:$M$8)</f>
        <v>7</v>
      </c>
      <c r="G3" s="2">
        <f xml:space="preserve">_xlfn.XLOOKUP(D3,$I$2:$I$8,$J$2:$J$8)</f>
        <v>0.2</v>
      </c>
      <c r="I3" s="1" t="s">
        <v>7</v>
      </c>
      <c r="J3" s="2">
        <v>0.2</v>
      </c>
      <c r="L3" s="1" t="s">
        <v>7</v>
      </c>
      <c r="M3" s="1">
        <v>7</v>
      </c>
    </row>
    <row r="4" spans="1:13">
      <c r="B4" s="1">
        <v>2</v>
      </c>
      <c r="C4" s="1" t="s">
        <v>246</v>
      </c>
      <c r="D4" s="1" t="s">
        <v>14</v>
      </c>
      <c r="E4" s="1">
        <v>543</v>
      </c>
      <c r="F4" s="1">
        <f t="shared" ref="F4:F12" si="0" xml:space="preserve">_xlfn.XLOOKUP(D4,$L$2:$L$8,$M$2:$M$8)</f>
        <v>6</v>
      </c>
      <c r="G4" s="2">
        <f t="shared" ref="G4:G12" si="1" xml:space="preserve">_xlfn.XLOOKUP(D4,$I$2:$I$8,$J$2:$J$8)</f>
        <v>0.18</v>
      </c>
      <c r="I4" s="1" t="s">
        <v>14</v>
      </c>
      <c r="J4" s="2">
        <v>0.18</v>
      </c>
      <c r="L4" s="1" t="s">
        <v>14</v>
      </c>
      <c r="M4" s="1">
        <v>6</v>
      </c>
    </row>
    <row r="5" spans="1:13">
      <c r="B5" s="1">
        <v>3</v>
      </c>
      <c r="C5" s="1" t="s">
        <v>247</v>
      </c>
      <c r="D5" s="1" t="s">
        <v>248</v>
      </c>
      <c r="E5" s="1">
        <v>338</v>
      </c>
      <c r="F5" s="1">
        <f t="shared" si="0"/>
        <v>7</v>
      </c>
      <c r="G5" s="2">
        <f t="shared" si="1"/>
        <v>0.23</v>
      </c>
      <c r="I5" s="1" t="s">
        <v>248</v>
      </c>
      <c r="J5" s="2">
        <v>0.23</v>
      </c>
      <c r="L5" s="1" t="s">
        <v>248</v>
      </c>
      <c r="M5" s="1">
        <v>7</v>
      </c>
    </row>
    <row r="6" spans="1:13">
      <c r="B6" s="1">
        <v>4</v>
      </c>
      <c r="C6" s="1" t="s">
        <v>249</v>
      </c>
      <c r="D6" s="1" t="s">
        <v>11</v>
      </c>
      <c r="E6" s="1">
        <v>308</v>
      </c>
      <c r="F6" s="1">
        <f t="shared" si="0"/>
        <v>3</v>
      </c>
      <c r="G6" s="2">
        <f t="shared" si="1"/>
        <v>0.07</v>
      </c>
      <c r="I6" s="1" t="s">
        <v>11</v>
      </c>
      <c r="J6" s="2">
        <v>0.07</v>
      </c>
      <c r="L6" s="1" t="s">
        <v>11</v>
      </c>
      <c r="M6" s="1">
        <v>3</v>
      </c>
    </row>
    <row r="7" spans="1:13">
      <c r="B7" s="1">
        <v>5</v>
      </c>
      <c r="C7" s="1" t="s">
        <v>250</v>
      </c>
      <c r="D7" s="1" t="s">
        <v>251</v>
      </c>
      <c r="E7" s="1">
        <v>499</v>
      </c>
      <c r="F7" s="1">
        <f t="shared" si="0"/>
        <v>1</v>
      </c>
      <c r="G7" s="2">
        <f t="shared" si="1"/>
        <v>0.05</v>
      </c>
      <c r="I7" s="1" t="s">
        <v>251</v>
      </c>
      <c r="J7" s="2">
        <v>0.05</v>
      </c>
      <c r="L7" s="1" t="s">
        <v>251</v>
      </c>
      <c r="M7" s="1">
        <v>1</v>
      </c>
    </row>
    <row r="8" spans="1:13">
      <c r="B8" s="1">
        <v>6</v>
      </c>
      <c r="C8" s="1" t="s">
        <v>252</v>
      </c>
      <c r="D8" s="1" t="s">
        <v>253</v>
      </c>
      <c r="E8" s="1">
        <v>366</v>
      </c>
      <c r="F8" s="1">
        <f t="shared" si="0"/>
        <v>5</v>
      </c>
      <c r="G8" s="2">
        <f t="shared" si="1"/>
        <v>0.4</v>
      </c>
      <c r="I8" s="1" t="s">
        <v>253</v>
      </c>
      <c r="J8" s="2">
        <v>0.4</v>
      </c>
      <c r="L8" s="1" t="s">
        <v>253</v>
      </c>
      <c r="M8" s="1">
        <v>5</v>
      </c>
    </row>
    <row r="9" spans="1:13">
      <c r="B9" s="1">
        <v>7</v>
      </c>
      <c r="C9" s="1" t="s">
        <v>254</v>
      </c>
      <c r="D9" s="1" t="s">
        <v>7</v>
      </c>
      <c r="E9" s="1">
        <v>452</v>
      </c>
      <c r="F9" s="1">
        <f t="shared" si="0"/>
        <v>7</v>
      </c>
      <c r="G9" s="2">
        <f t="shared" si="1"/>
        <v>0.2</v>
      </c>
    </row>
    <row r="10" spans="1:13">
      <c r="B10" s="1">
        <v>8</v>
      </c>
      <c r="C10" s="1" t="s">
        <v>255</v>
      </c>
      <c r="D10" s="1" t="s">
        <v>14</v>
      </c>
      <c r="E10" s="1">
        <v>369</v>
      </c>
      <c r="F10" s="1">
        <f t="shared" si="0"/>
        <v>6</v>
      </c>
      <c r="G10" s="2">
        <f t="shared" si="1"/>
        <v>0.18</v>
      </c>
    </row>
    <row r="11" spans="1:13">
      <c r="B11" s="1">
        <v>9</v>
      </c>
      <c r="C11" s="1" t="s">
        <v>256</v>
      </c>
      <c r="D11" s="1" t="s">
        <v>11</v>
      </c>
      <c r="E11" s="1">
        <v>332</v>
      </c>
      <c r="F11" s="1">
        <f t="shared" si="0"/>
        <v>3</v>
      </c>
      <c r="G11" s="2">
        <f t="shared" si="1"/>
        <v>0.07</v>
      </c>
    </row>
    <row r="12" spans="1:13">
      <c r="B12" s="1">
        <v>10</v>
      </c>
      <c r="C12" s="1" t="s">
        <v>257</v>
      </c>
      <c r="D12" s="1" t="s">
        <v>248</v>
      </c>
      <c r="E12" s="1">
        <v>485</v>
      </c>
      <c r="F12" s="1">
        <f t="shared" si="0"/>
        <v>7</v>
      </c>
      <c r="G12" s="2">
        <f t="shared" si="1"/>
        <v>0.23</v>
      </c>
    </row>
    <row r="15" spans="1:13">
      <c r="A15" t="s">
        <v>258</v>
      </c>
    </row>
    <row r="17" spans="1:12">
      <c r="B17" s="1" t="s">
        <v>239</v>
      </c>
      <c r="C17" s="1" t="s">
        <v>240</v>
      </c>
      <c r="D17" s="1" t="s">
        <v>241</v>
      </c>
      <c r="E17" s="1" t="s">
        <v>259</v>
      </c>
      <c r="F17" s="1" t="s">
        <v>243</v>
      </c>
      <c r="J17" s="1" t="s">
        <v>59</v>
      </c>
      <c r="K17" s="1" t="s">
        <v>244</v>
      </c>
      <c r="L17" s="1" t="s">
        <v>243</v>
      </c>
    </row>
    <row r="18" spans="1:12">
      <c r="B18" s="1">
        <v>1</v>
      </c>
      <c r="C18" s="1" t="s">
        <v>245</v>
      </c>
      <c r="D18" s="1" t="s">
        <v>7</v>
      </c>
      <c r="E18" s="2">
        <v>0.19</v>
      </c>
      <c r="F18" s="1">
        <f xml:space="preserve">_xlfn.XLOOKUP(E18,$J$18:$J$23,$L$18:$L$23,"NOT Found",1)</f>
        <v>7</v>
      </c>
      <c r="J18" s="2">
        <v>0.2</v>
      </c>
      <c r="K18" s="1" t="s">
        <v>7</v>
      </c>
      <c r="L18" s="1">
        <v>7</v>
      </c>
    </row>
    <row r="19" spans="1:12">
      <c r="B19" s="1">
        <v>2</v>
      </c>
      <c r="C19" s="1" t="s">
        <v>246</v>
      </c>
      <c r="D19" s="1" t="s">
        <v>14</v>
      </c>
      <c r="E19" s="2">
        <v>0.18</v>
      </c>
      <c r="F19" s="1">
        <f t="shared" ref="F19:F27" si="2" xml:space="preserve">_xlfn.XLOOKUP(E19,$J$18:$J$23,$L$18:$L$23,"NOT Found",1)</f>
        <v>6</v>
      </c>
      <c r="J19" s="2">
        <v>0.18</v>
      </c>
      <c r="K19" s="1" t="s">
        <v>14</v>
      </c>
      <c r="L19" s="1">
        <v>6</v>
      </c>
    </row>
    <row r="20" spans="1:12">
      <c r="B20" s="1">
        <v>3</v>
      </c>
      <c r="C20" s="1" t="s">
        <v>247</v>
      </c>
      <c r="D20" s="1" t="s">
        <v>248</v>
      </c>
      <c r="E20" s="2">
        <v>0.21</v>
      </c>
      <c r="F20" s="1">
        <f t="shared" si="2"/>
        <v>7</v>
      </c>
      <c r="J20" s="2">
        <v>0.23</v>
      </c>
      <c r="K20" s="1" t="s">
        <v>248</v>
      </c>
      <c r="L20" s="1">
        <v>7</v>
      </c>
    </row>
    <row r="21" spans="1:12">
      <c r="B21" s="1">
        <v>4</v>
      </c>
      <c r="C21" s="1" t="s">
        <v>249</v>
      </c>
      <c r="D21" s="1" t="s">
        <v>11</v>
      </c>
      <c r="E21" s="2">
        <v>0.24</v>
      </c>
      <c r="F21" s="1">
        <f t="shared" si="2"/>
        <v>5</v>
      </c>
      <c r="J21" s="2">
        <v>0.07</v>
      </c>
      <c r="K21" s="1" t="s">
        <v>11</v>
      </c>
      <c r="L21" s="1">
        <v>3</v>
      </c>
    </row>
    <row r="22" spans="1:12">
      <c r="B22" s="1">
        <v>5</v>
      </c>
      <c r="C22" s="1" t="s">
        <v>260</v>
      </c>
      <c r="D22" s="1" t="s">
        <v>251</v>
      </c>
      <c r="E22" s="2">
        <v>0.08</v>
      </c>
      <c r="F22" s="1">
        <f t="shared" si="2"/>
        <v>6</v>
      </c>
      <c r="J22" s="2">
        <v>0.05</v>
      </c>
      <c r="K22" s="1" t="s">
        <v>251</v>
      </c>
      <c r="L22" s="1">
        <v>1</v>
      </c>
    </row>
    <row r="23" spans="1:12">
      <c r="B23" s="1">
        <v>6</v>
      </c>
      <c r="C23" s="1" t="s">
        <v>252</v>
      </c>
      <c r="D23" s="1" t="s">
        <v>253</v>
      </c>
      <c r="E23" s="2">
        <v>0.09</v>
      </c>
      <c r="F23" s="1">
        <f t="shared" si="2"/>
        <v>6</v>
      </c>
      <c r="J23" s="2">
        <v>0.4</v>
      </c>
      <c r="K23" s="1" t="s">
        <v>253</v>
      </c>
      <c r="L23" s="1">
        <v>5</v>
      </c>
    </row>
    <row r="24" spans="1:12">
      <c r="B24" s="1">
        <v>7</v>
      </c>
      <c r="C24" s="1" t="s">
        <v>254</v>
      </c>
      <c r="D24" s="1" t="s">
        <v>7</v>
      </c>
      <c r="E24" s="2">
        <v>0.05</v>
      </c>
      <c r="F24" s="1">
        <f t="shared" si="2"/>
        <v>1</v>
      </c>
    </row>
    <row r="25" spans="1:12">
      <c r="B25" s="1">
        <v>8</v>
      </c>
      <c r="C25" s="1" t="s">
        <v>255</v>
      </c>
      <c r="D25" s="1" t="s">
        <v>14</v>
      </c>
      <c r="E25" s="2">
        <v>0.01</v>
      </c>
      <c r="F25" s="1">
        <f t="shared" si="2"/>
        <v>1</v>
      </c>
    </row>
    <row r="26" spans="1:12">
      <c r="B26" s="1">
        <v>9</v>
      </c>
      <c r="C26" s="1" t="s">
        <v>256</v>
      </c>
      <c r="D26" s="1" t="s">
        <v>11</v>
      </c>
      <c r="E26" s="2">
        <v>0.46</v>
      </c>
      <c r="F26" s="1" t="str">
        <f t="shared" si="2"/>
        <v>NOT Found</v>
      </c>
    </row>
    <row r="27" spans="1:12">
      <c r="B27" s="1">
        <v>10</v>
      </c>
      <c r="C27" s="1" t="s">
        <v>257</v>
      </c>
      <c r="D27" s="1" t="s">
        <v>248</v>
      </c>
      <c r="E27" s="2">
        <v>0.37</v>
      </c>
      <c r="F27" s="1">
        <f t="shared" si="2"/>
        <v>5</v>
      </c>
    </row>
    <row r="30" spans="1:12">
      <c r="A30" t="s">
        <v>261</v>
      </c>
    </row>
    <row r="32" spans="1:12">
      <c r="B32" s="1" t="s">
        <v>239</v>
      </c>
      <c r="C32" s="1" t="s">
        <v>240</v>
      </c>
      <c r="D32" s="1" t="s">
        <v>241</v>
      </c>
      <c r="E32" s="1" t="s">
        <v>259</v>
      </c>
      <c r="F32" s="1" t="s">
        <v>243</v>
      </c>
      <c r="J32" s="1" t="s">
        <v>59</v>
      </c>
      <c r="K32" s="1" t="s">
        <v>244</v>
      </c>
      <c r="L32" s="1" t="s">
        <v>243</v>
      </c>
    </row>
    <row r="33" spans="2:12">
      <c r="B33" s="1">
        <v>1</v>
      </c>
      <c r="C33" s="1" t="s">
        <v>245</v>
      </c>
      <c r="D33" s="1" t="s">
        <v>7</v>
      </c>
      <c r="E33" s="2">
        <v>0.19</v>
      </c>
      <c r="F33" s="1">
        <f xml:space="preserve">_xlfn.XLOOKUP(E34,$J$33:$J$39,$L$33:$L$39,"Not Found",-1)</f>
        <v>6</v>
      </c>
      <c r="J33" s="2">
        <v>0.2</v>
      </c>
      <c r="K33" s="1" t="s">
        <v>7</v>
      </c>
      <c r="L33" s="1">
        <v>7</v>
      </c>
    </row>
    <row r="34" spans="2:12">
      <c r="B34" s="1">
        <v>2</v>
      </c>
      <c r="C34" s="1" t="s">
        <v>246</v>
      </c>
      <c r="D34" s="1" t="s">
        <v>14</v>
      </c>
      <c r="E34" s="2">
        <v>0.18</v>
      </c>
      <c r="F34" s="1">
        <f t="shared" ref="F34:F42" si="3" xml:space="preserve">_xlfn.XLOOKUP(E35,$J$34:$J$39,$L$34:$L$39,"Not Found",-1)</f>
        <v>6</v>
      </c>
      <c r="J34" s="2">
        <v>0.18</v>
      </c>
      <c r="K34" s="1" t="s">
        <v>14</v>
      </c>
      <c r="L34" s="1">
        <v>6</v>
      </c>
    </row>
    <row r="35" spans="2:12">
      <c r="B35" s="1">
        <v>3</v>
      </c>
      <c r="C35" s="1" t="s">
        <v>247</v>
      </c>
      <c r="D35" s="1" t="s">
        <v>248</v>
      </c>
      <c r="E35" s="2">
        <v>0.21</v>
      </c>
      <c r="F35" s="1">
        <f t="shared" si="3"/>
        <v>7</v>
      </c>
      <c r="J35" s="2">
        <v>0.23</v>
      </c>
      <c r="K35" s="1" t="s">
        <v>248</v>
      </c>
      <c r="L35" s="1">
        <v>7</v>
      </c>
    </row>
    <row r="36" spans="2:12">
      <c r="B36" s="1">
        <v>4</v>
      </c>
      <c r="C36" s="1" t="s">
        <v>249</v>
      </c>
      <c r="D36" s="1" t="s">
        <v>11</v>
      </c>
      <c r="E36" s="2">
        <v>0.24</v>
      </c>
      <c r="F36" s="1">
        <f t="shared" si="3"/>
        <v>3</v>
      </c>
      <c r="J36" s="2">
        <v>0.07</v>
      </c>
      <c r="K36" s="1" t="s">
        <v>11</v>
      </c>
      <c r="L36" s="1">
        <v>3</v>
      </c>
    </row>
    <row r="37" spans="2:12">
      <c r="B37" s="1">
        <v>5</v>
      </c>
      <c r="C37" s="1" t="s">
        <v>260</v>
      </c>
      <c r="D37" s="1" t="s">
        <v>251</v>
      </c>
      <c r="E37" s="2">
        <v>0.08</v>
      </c>
      <c r="F37" s="1">
        <f t="shared" si="3"/>
        <v>3</v>
      </c>
      <c r="J37" s="2">
        <v>0.05</v>
      </c>
      <c r="K37" s="1" t="s">
        <v>251</v>
      </c>
      <c r="L37" s="1">
        <v>1</v>
      </c>
    </row>
    <row r="38" spans="2:12">
      <c r="B38" s="1">
        <v>6</v>
      </c>
      <c r="C38" s="1" t="s">
        <v>252</v>
      </c>
      <c r="D38" s="1" t="s">
        <v>253</v>
      </c>
      <c r="E38" s="2">
        <v>0.09</v>
      </c>
      <c r="F38" s="1">
        <f t="shared" si="3"/>
        <v>1</v>
      </c>
      <c r="J38" s="2">
        <v>0.4</v>
      </c>
      <c r="K38" s="1" t="s">
        <v>253</v>
      </c>
      <c r="L38" s="1">
        <v>5</v>
      </c>
    </row>
    <row r="39" spans="2:12">
      <c r="B39" s="1">
        <v>7</v>
      </c>
      <c r="C39" s="1" t="s">
        <v>254</v>
      </c>
      <c r="D39" s="1" t="s">
        <v>7</v>
      </c>
      <c r="E39" s="2">
        <v>0.05</v>
      </c>
      <c r="F39" s="1" t="str">
        <f t="shared" si="3"/>
        <v>Not Found</v>
      </c>
    </row>
    <row r="40" spans="2:12">
      <c r="B40" s="1">
        <v>8</v>
      </c>
      <c r="C40" s="1" t="s">
        <v>255</v>
      </c>
      <c r="D40" s="1" t="s">
        <v>14</v>
      </c>
      <c r="E40" s="2">
        <v>0.01</v>
      </c>
      <c r="F40" s="1">
        <f t="shared" si="3"/>
        <v>5</v>
      </c>
    </row>
    <row r="41" spans="2:12">
      <c r="B41" s="1">
        <v>9</v>
      </c>
      <c r="C41" s="1" t="s">
        <v>256</v>
      </c>
      <c r="D41" s="1" t="s">
        <v>11</v>
      </c>
      <c r="E41" s="2">
        <v>0.46</v>
      </c>
      <c r="F41" s="1">
        <f t="shared" si="3"/>
        <v>7</v>
      </c>
    </row>
    <row r="42" spans="2:12">
      <c r="B42" s="1">
        <v>10</v>
      </c>
      <c r="C42" s="1" t="s">
        <v>257</v>
      </c>
      <c r="D42" s="1" t="s">
        <v>248</v>
      </c>
      <c r="E42" s="2">
        <v>0.37</v>
      </c>
      <c r="F42" s="1">
        <f t="shared" si="3"/>
        <v>0</v>
      </c>
    </row>
    <row r="45" spans="2:12">
      <c r="B45" s="1" t="s">
        <v>262</v>
      </c>
      <c r="C45" s="1"/>
      <c r="D45" s="1"/>
      <c r="E45" s="1"/>
      <c r="F45" s="1"/>
    </row>
    <row r="47" spans="2:12">
      <c r="B47" s="1" t="s">
        <v>239</v>
      </c>
      <c r="C47" s="1" t="s">
        <v>240</v>
      </c>
      <c r="D47" s="1" t="s">
        <v>241</v>
      </c>
      <c r="E47" s="1" t="s">
        <v>259</v>
      </c>
      <c r="F47" s="1" t="s">
        <v>243</v>
      </c>
      <c r="I47" s="1" t="s">
        <v>59</v>
      </c>
      <c r="J47" s="1" t="s">
        <v>244</v>
      </c>
      <c r="K47" s="1" t="s">
        <v>243</v>
      </c>
    </row>
    <row r="48" spans="2:12">
      <c r="B48" s="1">
        <v>1</v>
      </c>
      <c r="C48" s="1" t="s">
        <v>245</v>
      </c>
      <c r="D48" s="1" t="s">
        <v>263</v>
      </c>
      <c r="E48" s="2">
        <v>0.19</v>
      </c>
      <c r="F48" s="1">
        <f xml:space="preserve">_xlfn.XLOOKUP(D48&amp;"*",$J$48:$J$53,$K$48:$K$53,"Not Found",2)</f>
        <v>7</v>
      </c>
      <c r="I48" s="2">
        <v>0.2</v>
      </c>
      <c r="J48" s="1" t="s">
        <v>7</v>
      </c>
      <c r="K48" s="1">
        <v>7</v>
      </c>
    </row>
    <row r="49" spans="2:21">
      <c r="B49" s="1">
        <v>2</v>
      </c>
      <c r="C49" s="1" t="s">
        <v>246</v>
      </c>
      <c r="D49" s="1" t="s">
        <v>264</v>
      </c>
      <c r="E49" s="2">
        <v>0.18</v>
      </c>
      <c r="F49" s="1">
        <f t="shared" ref="F49:F57" si="4" xml:space="preserve">_xlfn.XLOOKUP(D49&amp;"*",$J$48:$J$53,$K$48:$K$53,"Not Found",2)</f>
        <v>6</v>
      </c>
      <c r="I49" s="2">
        <v>0.18</v>
      </c>
      <c r="J49" s="1" t="s">
        <v>14</v>
      </c>
      <c r="K49" s="1">
        <v>6</v>
      </c>
    </row>
    <row r="50" spans="2:21">
      <c r="B50" s="1">
        <v>3</v>
      </c>
      <c r="C50" s="1" t="s">
        <v>247</v>
      </c>
      <c r="D50" s="1" t="s">
        <v>265</v>
      </c>
      <c r="E50" s="2">
        <v>0.21</v>
      </c>
      <c r="F50" s="1">
        <f t="shared" si="4"/>
        <v>7</v>
      </c>
      <c r="I50" s="2">
        <v>0.23</v>
      </c>
      <c r="J50" s="1" t="s">
        <v>248</v>
      </c>
      <c r="K50" s="1">
        <v>7</v>
      </c>
    </row>
    <row r="51" spans="2:21">
      <c r="B51" s="1">
        <v>4</v>
      </c>
      <c r="C51" s="1" t="s">
        <v>249</v>
      </c>
      <c r="D51" s="1" t="s">
        <v>266</v>
      </c>
      <c r="E51" s="2">
        <v>0.24</v>
      </c>
      <c r="F51" s="1" t="str">
        <f t="shared" si="4"/>
        <v>Not Found</v>
      </c>
      <c r="I51" s="2">
        <v>0.07</v>
      </c>
      <c r="J51" s="1" t="s">
        <v>267</v>
      </c>
      <c r="K51" s="1">
        <v>3</v>
      </c>
    </row>
    <row r="52" spans="2:21">
      <c r="B52" s="1">
        <v>5</v>
      </c>
      <c r="C52" s="1" t="s">
        <v>260</v>
      </c>
      <c r="D52" s="1" t="s">
        <v>268</v>
      </c>
      <c r="E52" s="2">
        <v>0.08</v>
      </c>
      <c r="F52" s="1">
        <f t="shared" si="4"/>
        <v>1</v>
      </c>
      <c r="I52" s="2">
        <v>0.05</v>
      </c>
      <c r="J52" s="1" t="s">
        <v>251</v>
      </c>
      <c r="K52" s="1">
        <v>1</v>
      </c>
    </row>
    <row r="53" spans="2:21">
      <c r="B53" s="1">
        <v>6</v>
      </c>
      <c r="C53" s="1" t="s">
        <v>252</v>
      </c>
      <c r="D53" s="1" t="s">
        <v>269</v>
      </c>
      <c r="E53" s="2">
        <v>0.09</v>
      </c>
      <c r="F53" s="1">
        <f t="shared" si="4"/>
        <v>5</v>
      </c>
      <c r="I53" s="2">
        <v>0.4</v>
      </c>
      <c r="J53" s="1" t="s">
        <v>253</v>
      </c>
      <c r="K53" s="1">
        <v>5</v>
      </c>
    </row>
    <row r="54" spans="2:21">
      <c r="B54" s="1">
        <v>7</v>
      </c>
      <c r="C54" s="1" t="s">
        <v>254</v>
      </c>
      <c r="D54" s="1" t="s">
        <v>263</v>
      </c>
      <c r="E54" s="2">
        <v>0.05</v>
      </c>
      <c r="F54" s="1">
        <f t="shared" si="4"/>
        <v>7</v>
      </c>
    </row>
    <row r="55" spans="2:21">
      <c r="B55" s="1">
        <v>8</v>
      </c>
      <c r="C55" s="1" t="s">
        <v>255</v>
      </c>
      <c r="D55" s="1" t="s">
        <v>264</v>
      </c>
      <c r="E55" s="2">
        <v>0.01</v>
      </c>
      <c r="F55" s="1">
        <f t="shared" si="4"/>
        <v>6</v>
      </c>
    </row>
    <row r="56" spans="2:21">
      <c r="B56" s="1">
        <v>9</v>
      </c>
      <c r="C56" s="1" t="s">
        <v>256</v>
      </c>
      <c r="D56" s="1" t="s">
        <v>266</v>
      </c>
      <c r="E56" s="2">
        <v>0.46</v>
      </c>
      <c r="F56" s="1" t="str">
        <f t="shared" si="4"/>
        <v>Not Found</v>
      </c>
    </row>
    <row r="57" spans="2:21">
      <c r="B57" s="1">
        <v>10</v>
      </c>
      <c r="C57" s="1" t="s">
        <v>257</v>
      </c>
      <c r="D57" s="1" t="s">
        <v>265</v>
      </c>
      <c r="E57" s="2">
        <v>0.37</v>
      </c>
      <c r="F57" s="1">
        <f t="shared" si="4"/>
        <v>7</v>
      </c>
    </row>
    <row r="61" spans="2:21">
      <c r="B61" s="3" t="s">
        <v>239</v>
      </c>
      <c r="C61" s="3" t="s">
        <v>240</v>
      </c>
      <c r="D61" s="3" t="s">
        <v>270</v>
      </c>
      <c r="E61" s="3" t="s">
        <v>271</v>
      </c>
      <c r="F61" s="3" t="s">
        <v>272</v>
      </c>
      <c r="G61" s="3" t="s">
        <v>94</v>
      </c>
      <c r="H61" s="3"/>
      <c r="J61" s="4" t="s">
        <v>273</v>
      </c>
      <c r="K61" s="5">
        <v>44467</v>
      </c>
      <c r="L61" s="5">
        <v>44469</v>
      </c>
      <c r="M61" s="5">
        <v>44462</v>
      </c>
      <c r="N61" s="5">
        <v>44466</v>
      </c>
      <c r="O61" s="5">
        <v>44471</v>
      </c>
      <c r="P61" s="5">
        <v>44485</v>
      </c>
      <c r="Q61" s="5">
        <v>44480</v>
      </c>
      <c r="R61" s="5">
        <v>44470</v>
      </c>
      <c r="S61" s="5">
        <v>44459</v>
      </c>
      <c r="T61" s="5">
        <v>44464</v>
      </c>
      <c r="U61" s="5">
        <v>44449</v>
      </c>
    </row>
    <row r="62" spans="2:21">
      <c r="B62" s="3">
        <v>1</v>
      </c>
      <c r="C62" s="3" t="s">
        <v>245</v>
      </c>
      <c r="D62" s="3" t="s">
        <v>7</v>
      </c>
      <c r="E62" s="6">
        <v>44467</v>
      </c>
      <c r="F62" s="3" cm="1">
        <f t="array" ref="F62" xml:space="preserve">_xlfn.XLOOKUP(E62,$C$76:$M$76,$C$77:$M$77)</f>
        <v>11</v>
      </c>
      <c r="G62" s="3" t="str" cm="1">
        <f t="array" ref="G62" xml:space="preserve">_xlfn.XLOOKUP(E62,$J$61:$U$61,$J$62:$U$62)</f>
        <v>Matthew</v>
      </c>
      <c r="H62" s="3"/>
      <c r="J62" s="4" t="s">
        <v>274</v>
      </c>
      <c r="K62" s="7" t="s">
        <v>275</v>
      </c>
      <c r="L62" s="7" t="s">
        <v>81</v>
      </c>
      <c r="M62" s="7" t="s">
        <v>276</v>
      </c>
      <c r="N62" s="7" t="s">
        <v>277</v>
      </c>
      <c r="O62" s="7" t="s">
        <v>278</v>
      </c>
      <c r="P62" s="7" t="s">
        <v>279</v>
      </c>
      <c r="Q62" s="7" t="s">
        <v>280</v>
      </c>
      <c r="R62" s="7" t="s">
        <v>281</v>
      </c>
      <c r="S62" s="7" t="s">
        <v>282</v>
      </c>
      <c r="T62" s="7" t="s">
        <v>283</v>
      </c>
      <c r="U62" s="7" t="s">
        <v>284</v>
      </c>
    </row>
    <row r="63" spans="2:21">
      <c r="B63" s="3">
        <v>2</v>
      </c>
      <c r="C63" s="3" t="s">
        <v>246</v>
      </c>
      <c r="D63" s="3" t="s">
        <v>14</v>
      </c>
      <c r="E63" s="6">
        <v>44469</v>
      </c>
      <c r="F63" s="3" cm="1">
        <f t="array" ref="F63" xml:space="preserve">_xlfn.XLOOKUP(E63,$C$76:$M$76,$C$77:$M$77)</f>
        <v>12</v>
      </c>
      <c r="G63" s="3" t="str" cm="1">
        <f t="array" ref="G63" xml:space="preserve">_xlfn.XLOOKUP(E63,$J$61:$U$61,$J$62:$U$62)</f>
        <v>Kyle</v>
      </c>
      <c r="H63" s="3"/>
    </row>
    <row r="64" spans="2:21">
      <c r="B64" s="3">
        <v>3</v>
      </c>
      <c r="C64" s="3" t="s">
        <v>247</v>
      </c>
      <c r="D64" s="3" t="s">
        <v>248</v>
      </c>
      <c r="E64" s="6">
        <v>44462</v>
      </c>
      <c r="F64" s="3" cm="1">
        <f t="array" ref="F64" xml:space="preserve">_xlfn.XLOOKUP(E64,$C$76:$M$76,$C$77:$M$77)</f>
        <v>35</v>
      </c>
      <c r="G64" s="3" t="str" cm="1">
        <f t="array" ref="G64" xml:space="preserve">_xlfn.XLOOKUP(E64,$J$61:$U$61,$J$62:$U$62)</f>
        <v>Sammy</v>
      </c>
      <c r="H64" s="3"/>
    </row>
    <row r="65" spans="2:13">
      <c r="B65" s="3">
        <v>4</v>
      </c>
      <c r="C65" s="3" t="s">
        <v>249</v>
      </c>
      <c r="D65" s="3" t="s">
        <v>11</v>
      </c>
      <c r="E65" s="6">
        <v>44466</v>
      </c>
      <c r="F65" s="3" cm="1">
        <f t="array" ref="F65" xml:space="preserve">_xlfn.XLOOKUP(E65,$C$76:$M$76,$C$77:$M$77)</f>
        <v>18</v>
      </c>
      <c r="G65" s="3" t="str" cm="1">
        <f t="array" ref="G65" xml:space="preserve">_xlfn.XLOOKUP(E65,$J$61:$U$61,$J$62:$U$62)</f>
        <v>Bravo</v>
      </c>
      <c r="H65" s="3"/>
    </row>
    <row r="66" spans="2:13">
      <c r="B66" s="3">
        <v>5</v>
      </c>
      <c r="C66" s="3" t="s">
        <v>260</v>
      </c>
      <c r="D66" s="3" t="s">
        <v>251</v>
      </c>
      <c r="E66" s="6">
        <v>44471</v>
      </c>
      <c r="F66" s="3" cm="1">
        <f t="array" ref="F66" xml:space="preserve">_xlfn.XLOOKUP(E66,$C$76:$M$76,$C$77:$M$77)</f>
        <v>17</v>
      </c>
      <c r="G66" s="3" t="str" cm="1">
        <f t="array" ref="G66" xml:space="preserve">_xlfn.XLOOKUP(E66,$J$61:$U$61,$J$62:$U$62)</f>
        <v>Rock</v>
      </c>
      <c r="H66" s="3"/>
    </row>
    <row r="67" spans="2:13">
      <c r="B67" s="3">
        <v>6</v>
      </c>
      <c r="C67" s="3" t="s">
        <v>252</v>
      </c>
      <c r="D67" s="3" t="s">
        <v>253</v>
      </c>
      <c r="E67" s="6">
        <v>44485</v>
      </c>
      <c r="F67" s="3" cm="1">
        <f t="array" ref="F67" xml:space="preserve">_xlfn.XLOOKUP(E67,$C$76:$M$76,$C$77:$M$77)</f>
        <v>16</v>
      </c>
      <c r="G67" s="3" t="str" cm="1">
        <f t="array" ref="G67" xml:space="preserve">_xlfn.XLOOKUP(E67,$J$61:$U$61,$J$62:$U$62)</f>
        <v>Johnson</v>
      </c>
      <c r="H67" s="3"/>
    </row>
    <row r="68" spans="2:13">
      <c r="B68" s="3">
        <v>7</v>
      </c>
      <c r="C68" s="3" t="s">
        <v>254</v>
      </c>
      <c r="D68" s="3" t="s">
        <v>7</v>
      </c>
      <c r="E68" s="6">
        <v>44480</v>
      </c>
      <c r="F68" s="3" t="e" cm="1">
        <f t="array" ref="F68" xml:space="preserve">_xlfn.XLOOKUP(E68,$C$76:$M$76,$C$77:$M$77)</f>
        <v>#N/A</v>
      </c>
      <c r="G68" s="3" t="str" cm="1">
        <f t="array" ref="G68" xml:space="preserve">_xlfn.XLOOKUP(E68,$J$61:$U$61,$J$62:$U$62)</f>
        <v>Smiley</v>
      </c>
      <c r="H68" s="3"/>
    </row>
    <row r="69" spans="2:13">
      <c r="B69" s="3">
        <v>8</v>
      </c>
      <c r="C69" s="3" t="s">
        <v>255</v>
      </c>
      <c r="D69" s="3" t="s">
        <v>14</v>
      </c>
      <c r="E69" s="6">
        <v>44470</v>
      </c>
      <c r="F69" s="3" cm="1">
        <f t="array" ref="F69" xml:space="preserve">_xlfn.XLOOKUP(E69,$C$76:$M$76,$C$77:$M$77)</f>
        <v>37</v>
      </c>
      <c r="G69" s="3" t="str" cm="1">
        <f t="array" ref="G69" xml:space="preserve">_xlfn.XLOOKUP(E69,$J$61:$U$61,$J$62:$U$62)</f>
        <v>Cryptas</v>
      </c>
      <c r="H69" s="3"/>
    </row>
    <row r="70" spans="2:13">
      <c r="B70" s="3">
        <v>9</v>
      </c>
      <c r="C70" s="3" t="s">
        <v>256</v>
      </c>
      <c r="D70" s="3" t="s">
        <v>11</v>
      </c>
      <c r="E70" s="6">
        <v>44459</v>
      </c>
      <c r="F70" s="3" cm="1">
        <f t="array" ref="F70" xml:space="preserve">_xlfn.XLOOKUP(E70,$C$76:$M$76,$C$77:$M$77)</f>
        <v>18</v>
      </c>
      <c r="G70" s="3" t="str" cm="1">
        <f t="array" ref="G70" xml:space="preserve">_xlfn.XLOOKUP(E70,$J$61:$U$61,$J$62:$U$62)</f>
        <v>Luke</v>
      </c>
      <c r="H70" s="3"/>
    </row>
    <row r="71" spans="2:13">
      <c r="B71" s="3">
        <v>10</v>
      </c>
      <c r="C71" s="3" t="s">
        <v>257</v>
      </c>
      <c r="D71" s="3" t="s">
        <v>248</v>
      </c>
      <c r="E71" s="6">
        <v>44464</v>
      </c>
      <c r="F71" s="3" cm="1">
        <f t="array" ref="F71" xml:space="preserve">_xlfn.XLOOKUP(E71,$C$76:$M$76,$C$77:$M$77)</f>
        <v>16</v>
      </c>
      <c r="G71" s="3" t="str" cm="1">
        <f t="array" ref="G71" xml:space="preserve">_xlfn.XLOOKUP(E71,$J$61:$U$61,$J$62:$U$62)</f>
        <v>Carrey</v>
      </c>
      <c r="H71" s="3"/>
    </row>
    <row r="72" spans="2:13">
      <c r="B72" s="3"/>
      <c r="C72" s="3"/>
      <c r="D72" s="3"/>
      <c r="E72" s="3"/>
      <c r="F72" s="3"/>
      <c r="G72" s="3"/>
      <c r="H72" s="3"/>
    </row>
    <row r="76" spans="2:13">
      <c r="C76" s="4" t="s">
        <v>271</v>
      </c>
      <c r="D76" s="5">
        <v>44467</v>
      </c>
      <c r="E76" s="5">
        <v>44469</v>
      </c>
      <c r="F76" s="5">
        <v>44462</v>
      </c>
      <c r="G76" s="5">
        <v>44466</v>
      </c>
      <c r="H76" s="5">
        <v>44471</v>
      </c>
      <c r="I76" s="5">
        <v>44485</v>
      </c>
      <c r="J76" s="5">
        <v>44479</v>
      </c>
      <c r="K76" s="5">
        <v>44470</v>
      </c>
      <c r="L76" s="5">
        <v>44459</v>
      </c>
      <c r="M76" s="5">
        <v>44464</v>
      </c>
    </row>
    <row r="77" spans="2:13">
      <c r="C77" s="4" t="s">
        <v>285</v>
      </c>
      <c r="D77" s="8">
        <v>11</v>
      </c>
      <c r="E77" s="8">
        <v>12</v>
      </c>
      <c r="F77" s="8">
        <v>35</v>
      </c>
      <c r="G77" s="8">
        <v>18</v>
      </c>
      <c r="H77" s="8">
        <v>17</v>
      </c>
      <c r="I77" s="8">
        <v>16</v>
      </c>
      <c r="J77" s="8">
        <v>18</v>
      </c>
      <c r="K77" s="8">
        <v>37</v>
      </c>
      <c r="L77" s="8">
        <v>18</v>
      </c>
      <c r="M77" s="8">
        <v>16</v>
      </c>
    </row>
  </sheetData>
  <mergeCells count="3">
    <mergeCell ref="A15:I15"/>
    <mergeCell ref="A30:I30"/>
    <mergeCell ref="B45:F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Vlookup_1</vt:lpstr>
      <vt:lpstr>Vlookup_2</vt:lpstr>
      <vt:lpstr>Employee_Data</vt:lpstr>
      <vt:lpstr>Vlookup_3</vt:lpstr>
      <vt:lpstr>Vlookup4</vt:lpstr>
      <vt:lpstr>Performance data</vt:lpstr>
      <vt:lpstr>Index and Match</vt:lpstr>
      <vt:lpstr>XLOOKUP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WPS_1787045862</cp:lastModifiedBy>
  <dcterms:created xsi:type="dcterms:W3CDTF">2022-03-05T05:03:00Z</dcterms:created>
  <cp:lastPrinted>2022-12-29T09:39:00Z</cp:lastPrinted>
  <dcterms:modified xsi:type="dcterms:W3CDTF">2026-10-23T09:08:48Z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9341969188124E5DAC413772D48FA939_12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