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675" firstSheet="7" activeTab="7"/>
  </bookViews>
  <sheets>
    <sheet name="Business Data" sheetId="1" r:id="rId1"/>
    <sheet name="Pv1" sheetId="2" r:id="rId2"/>
    <sheet name="PV2" sheetId="3" r:id="rId3"/>
    <sheet name="PV3" sheetId="4" r:id="rId4"/>
    <sheet name="PV4" sheetId="13" r:id="rId5"/>
    <sheet name="PV5" sheetId="12" r:id="rId6"/>
    <sheet name="PV6" sheetId="14" r:id="rId7"/>
    <sheet name="PV7" sheetId="15" r:id="rId8"/>
    <sheet name="PV8" sheetId="5" r:id="rId9"/>
    <sheet name="PV9" sheetId="11" r:id="rId10"/>
    <sheet name="PV10" sheetId="16" r:id="rId11"/>
    <sheet name="PV13" sheetId="18" r:id="rId12"/>
    <sheet name="PV11" sheetId="19" r:id="rId13"/>
    <sheet name="PV 12" sheetId="8" r:id="rId14"/>
    <sheet name="PV14" sheetId="20" r:id="rId15"/>
    <sheet name="PV15" sheetId="21" r:id="rId16"/>
    <sheet name="PV16" sheetId="22" r:id="rId17"/>
    <sheet name="Assignment Questions" sheetId="17" r:id="rId18"/>
  </sheets>
  <definedNames>
    <definedName name="_xlnm._FilterDatabase" localSheetId="0" hidden="1">'Business Data'!$A$1:$R$795</definedName>
    <definedName name="Slicer_Order_Type1">#N/A</definedName>
    <definedName name="Slicer_Location">#N/A</definedName>
    <definedName name="Slicer_Rating_Given">#N/A</definedName>
    <definedName name="Slicer_Order_Type">#N/A</definedName>
    <definedName name="Slicer_Agent_Handled">#N/A</definedName>
  </definedNames>
  <calcPr calcId="191029"/>
  <pivotCaches>
    <pivotCache cacheId="0" r:id="rId19"/>
  </pivotCaches>
  <extLst>
    <ext xmlns:x14="http://schemas.microsoft.com/office/spreadsheetml/2009/9/main" uri="{BBE1A952-AA13-448e-AADC-164F8A28A991}">
      <x14:slicerCaches>
        <x14:slicerCache r:id="rId24"/>
        <x14:slicerCache r:id="rId23"/>
        <x14:slicerCache r:id="rId22"/>
        <x14:slicerCache r:id="rId21"/>
        <x14:slicerCache r:id="rId2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<sst xmlns="http://schemas.openxmlformats.org/spreadsheetml/2006/main" count="8262" uniqueCount="1757">
  <si>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</si>
  <si>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</si>
  <si>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</si>
  <si>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</si>
  <si>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</si>
  <si>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</si>
  <si>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</si>
  <si>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</si>
  <si>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</si>
  <si>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Location</t>
  </si>
  <si>
    <t>Product Price</t>
  </si>
  <si>
    <t>No of Pizza per Order</t>
  </si>
  <si>
    <t>Order Type</t>
  </si>
  <si>
    <t>Discount</t>
  </si>
  <si>
    <t>Product Name</t>
  </si>
  <si>
    <t>Actual Price</t>
  </si>
  <si>
    <t>Final Price</t>
  </si>
  <si>
    <t>Cost per Pizza</t>
  </si>
  <si>
    <t>PBOR00001</t>
  </si>
  <si>
    <t>Sam Walton</t>
  </si>
  <si>
    <t>Query</t>
  </si>
  <si>
    <t>Yes</t>
  </si>
  <si>
    <t>PBCS0001</t>
  </si>
  <si>
    <t>Roch Cousineau</t>
  </si>
  <si>
    <t>Andhra Pradesh</t>
  </si>
  <si>
    <t>Online</t>
  </si>
  <si>
    <t>Paneer Tikka Pizzabun</t>
  </si>
  <si>
    <t>PBOR00002</t>
  </si>
  <si>
    <t>Simma Raj</t>
  </si>
  <si>
    <t>Request</t>
  </si>
  <si>
    <t>PBCS0002</t>
  </si>
  <si>
    <t>Adrien Martin</t>
  </si>
  <si>
    <t>Arunachal Pradesh</t>
  </si>
  <si>
    <t>Physical Visit</t>
  </si>
  <si>
    <t>Crispy Chole Pizzabun</t>
  </si>
  <si>
    <t>PBOR00003</t>
  </si>
  <si>
    <t>Aditya Singh</t>
  </si>
  <si>
    <t>Complaint</t>
  </si>
  <si>
    <t>No</t>
  </si>
  <si>
    <t>PBCS0003</t>
  </si>
  <si>
    <t>Albain Forestier</t>
  </si>
  <si>
    <t>Assam</t>
  </si>
  <si>
    <t>Large Paneer Tikka Pizzabun</t>
  </si>
  <si>
    <t>PBOR00004</t>
  </si>
  <si>
    <t>Julian Richard Samson</t>
  </si>
  <si>
    <t>PBCS0004</t>
  </si>
  <si>
    <t>Bihar</t>
  </si>
  <si>
    <t>Medium Crispy Chole Pizzabun</t>
  </si>
  <si>
    <t>PBOR00005</t>
  </si>
  <si>
    <t>Savitri Kala</t>
  </si>
  <si>
    <t>PBCS0005</t>
  </si>
  <si>
    <t>Chhattisgarh</t>
  </si>
  <si>
    <t>PBOR00006</t>
  </si>
  <si>
    <t>Pratyush Trivedi</t>
  </si>
  <si>
    <t>PBCS0006</t>
  </si>
  <si>
    <t>Goa</t>
  </si>
  <si>
    <t>PBOR00007</t>
  </si>
  <si>
    <t>PBCS0007</t>
  </si>
  <si>
    <t>Gujarat</t>
  </si>
  <si>
    <t>PBOR00009</t>
  </si>
  <si>
    <t>PBOR00008</t>
  </si>
  <si>
    <t>Adhya Garg</t>
  </si>
  <si>
    <t>PBCS0008</t>
  </si>
  <si>
    <t>Haryana</t>
  </si>
  <si>
    <t>PBOR00010</t>
  </si>
  <si>
    <t>Pranav Bhatnagar</t>
  </si>
  <si>
    <t>PBCS0009</t>
  </si>
  <si>
    <t>Himachal Pradesh</t>
  </si>
  <si>
    <t>Minty Pizzabun</t>
  </si>
  <si>
    <t>PBOR00011</t>
  </si>
  <si>
    <t>PBCS0010</t>
  </si>
  <si>
    <t>Jharkhand</t>
  </si>
  <si>
    <t>PBOR00012</t>
  </si>
  <si>
    <t>Apurva Suri</t>
  </si>
  <si>
    <t>PBCS0011</t>
  </si>
  <si>
    <t>Karnataka</t>
  </si>
  <si>
    <t>PBOR00013</t>
  </si>
  <si>
    <t>Lata Chokshi</t>
  </si>
  <si>
    <t>PBCS0012</t>
  </si>
  <si>
    <t>Kerala</t>
  </si>
  <si>
    <t>PBOR00014</t>
  </si>
  <si>
    <t>PBCS0013</t>
  </si>
  <si>
    <t>Madhya Pradesh</t>
  </si>
  <si>
    <t>PBOR00015</t>
  </si>
  <si>
    <t>Roshan Bath</t>
  </si>
  <si>
    <t>PBCS0014</t>
  </si>
  <si>
    <t>Maharashtra</t>
  </si>
  <si>
    <t>PBOR00016</t>
  </si>
  <si>
    <t>PBCS0015</t>
  </si>
  <si>
    <t>Manipur</t>
  </si>
  <si>
    <t>PBOR00017</t>
  </si>
  <si>
    <t>Dinesh Sharma</t>
  </si>
  <si>
    <t>PBCS0016</t>
  </si>
  <si>
    <t>Meghalaya</t>
  </si>
  <si>
    <t>PBOR00018</t>
  </si>
  <si>
    <t>PBCS0017</t>
  </si>
  <si>
    <t>Mizoram</t>
  </si>
  <si>
    <t>PBOR00019</t>
  </si>
  <si>
    <t>PBCS0018</t>
  </si>
  <si>
    <t>Nagaland</t>
  </si>
  <si>
    <t>PBOR00020</t>
  </si>
  <si>
    <t>Nitya Sandhu</t>
  </si>
  <si>
    <t>PBCS0019</t>
  </si>
  <si>
    <t>Odisha</t>
  </si>
  <si>
    <t>Aloo Shots Pizzabun</t>
  </si>
  <si>
    <t>PBOR00021</t>
  </si>
  <si>
    <t>Shanta Swamy</t>
  </si>
  <si>
    <t>PBCS0020</t>
  </si>
  <si>
    <t>Punjab</t>
  </si>
  <si>
    <t>PBOR00022</t>
  </si>
  <si>
    <t>Viaan Kale</t>
  </si>
  <si>
    <t>PBCS0021</t>
  </si>
  <si>
    <t>Rajasthan</t>
  </si>
  <si>
    <t>PBOR00023</t>
  </si>
  <si>
    <t>Disha Tank</t>
  </si>
  <si>
    <t>PBCS0022</t>
  </si>
  <si>
    <t>Sikkim</t>
  </si>
  <si>
    <t>PBOR00024</t>
  </si>
  <si>
    <t>Aaloak Naidu</t>
  </si>
  <si>
    <t>PBCS0023</t>
  </si>
  <si>
    <t>Tamil Nadu</t>
  </si>
  <si>
    <t>PBOR00025</t>
  </si>
  <si>
    <t>Nirmal Bahl</t>
  </si>
  <si>
    <t>PBCS0024</t>
  </si>
  <si>
    <t>Telangana</t>
  </si>
  <si>
    <t>PBOR00026</t>
  </si>
  <si>
    <t>Saral Narang</t>
  </si>
  <si>
    <t>PBCS0025</t>
  </si>
  <si>
    <t>Tripura</t>
  </si>
  <si>
    <t>PBOR00027</t>
  </si>
  <si>
    <t>Priya Aurora</t>
  </si>
  <si>
    <t>PBCS0026</t>
  </si>
  <si>
    <t>Uttar Pradesh</t>
  </si>
  <si>
    <t>PBOR00035</t>
  </si>
  <si>
    <t>Sharma Kar</t>
  </si>
  <si>
    <t>PBCS0027</t>
  </si>
  <si>
    <t>Uttarakhand</t>
  </si>
  <si>
    <t>PBOR00029</t>
  </si>
  <si>
    <t>PBOR00028</t>
  </si>
  <si>
    <t>Lakshmi Boase</t>
  </si>
  <si>
    <t>PBCS0028</t>
  </si>
  <si>
    <t>West Bengal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</si>
  <si>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</si>
  <si>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</si>
  <si>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</si>
  <si>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</si>
  <si>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</si>
  <si>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</si>
  <si>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</si>
  <si>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</si>
  <si>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</si>
  <si>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</si>
  <si>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</si>
  <si>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</si>
  <si>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</si>
  <si>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</si>
  <si>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</si>
  <si>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</si>
  <si>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</si>
  <si>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</si>
  <si>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</si>
  <si>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</si>
  <si>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</si>
  <si>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</si>
  <si>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</si>
  <si>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</si>
  <si>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</si>
  <si>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</si>
  <si>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</si>
  <si>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</si>
  <si>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</si>
  <si>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</si>
  <si>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</si>
  <si>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</si>
  <si>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</si>
  <si>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</si>
  <si>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</si>
  <si>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</si>
  <si>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</si>
  <si>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</si>
  <si>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</si>
  <si>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</si>
  <si>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</si>
  <si>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</si>
  <si>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</si>
  <si>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</si>
  <si>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</si>
  <si>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</si>
  <si>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</si>
  <si>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</si>
  <si>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</si>
  <si>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</si>
  <si>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</si>
  <si>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</si>
  <si>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</si>
  <si>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</si>
  <si>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</si>
  <si>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</si>
  <si>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</si>
  <si>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</si>
  <si>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</si>
  <si>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</si>
  <si>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</si>
  <si>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</si>
  <si>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</si>
  <si>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</si>
  <si>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</si>
  <si>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</si>
  <si>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</si>
  <si>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</si>
  <si>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</si>
  <si>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</si>
  <si>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</si>
  <si>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</si>
  <si>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</si>
  <si>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</si>
  <si>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</si>
  <si>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</si>
  <si>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</si>
  <si>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</si>
  <si>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</si>
  <si>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</si>
  <si>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</si>
  <si>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</si>
  <si>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</si>
  <si>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</si>
  <si>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</si>
  <si>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</si>
  <si>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</si>
  <si>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Aalia Desai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</si>
  <si>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</si>
  <si>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</si>
  <si>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</si>
  <si>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</si>
  <si>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</si>
  <si>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</si>
  <si>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</si>
  <si>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</si>
  <si>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</si>
  <si>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</si>
  <si>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</si>
  <si>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</si>
  <si>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</si>
  <si>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</si>
  <si>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</si>
  <si>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</si>
  <si>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</si>
  <si>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</si>
  <si>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</si>
  <si>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</si>
  <si>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</si>
  <si>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</si>
  <si>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</si>
  <si>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</si>
  <si>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</si>
  <si>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</si>
  <si>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</si>
  <si>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</si>
  <si>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</si>
  <si>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</si>
  <si>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</si>
  <si>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</si>
  <si>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</si>
  <si>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</si>
  <si>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</si>
  <si>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</si>
  <si>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</si>
  <si>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</si>
  <si>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</si>
  <si>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</si>
  <si>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</si>
  <si>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</si>
  <si>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</si>
  <si>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</si>
  <si>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</si>
  <si>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</si>
  <si>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</si>
  <si>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</si>
  <si>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</si>
  <si>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</si>
  <si>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</si>
  <si>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</si>
  <si>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</si>
  <si>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</si>
  <si>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</si>
  <si>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</si>
  <si>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</si>
  <si>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</si>
  <si>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</si>
  <si>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</si>
  <si>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</si>
  <si>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</si>
  <si>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</si>
  <si>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</si>
  <si>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</si>
  <si>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</si>
  <si>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</si>
  <si>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</si>
  <si>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</si>
  <si>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</si>
  <si>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</si>
  <si>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</si>
  <si>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</si>
  <si>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</si>
  <si>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</si>
  <si>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</si>
  <si>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</si>
  <si>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</si>
  <si>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</si>
  <si>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</si>
  <si>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</si>
  <si>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</si>
  <si>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</si>
  <si>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</si>
  <si>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</si>
  <si>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</si>
  <si>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</si>
  <si>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</si>
  <si>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</si>
  <si>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</si>
  <si>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</si>
  <si>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</si>
  <si>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</si>
  <si>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</si>
  <si>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</si>
  <si>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</si>
  <si>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</si>
  <si>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</si>
  <si>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</si>
  <si>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</si>
  <si>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</si>
  <si>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</si>
  <si>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</si>
  <si>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</si>
  <si>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</si>
  <si>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</si>
  <si>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</si>
  <si>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</si>
  <si>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</si>
  <si>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</si>
  <si>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</si>
  <si>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</si>
  <si>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</si>
  <si>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</si>
  <si>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</si>
  <si>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</si>
  <si>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</si>
  <si>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</si>
  <si>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</si>
  <si>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</si>
  <si>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</si>
  <si>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</si>
  <si>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</si>
  <si>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</si>
  <si>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</si>
  <si>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</si>
  <si>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</si>
  <si>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</si>
  <si>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</si>
  <si>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</si>
  <si>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</si>
  <si>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</si>
  <si>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</si>
  <si>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</si>
  <si>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</si>
  <si>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</si>
  <si>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</si>
  <si>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</si>
  <si>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</si>
  <si>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</si>
  <si>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</si>
  <si>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</si>
  <si>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</si>
  <si>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</si>
  <si>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</si>
  <si>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</si>
  <si>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</si>
  <si>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</si>
  <si>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</si>
  <si>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</si>
  <si>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</si>
  <si>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</si>
  <si>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</si>
  <si>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</si>
  <si>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</si>
  <si>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</si>
  <si>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</si>
  <si>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</si>
  <si>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</si>
  <si>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</si>
  <si>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</si>
  <si>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</si>
  <si>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</si>
  <si>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</si>
  <si>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</si>
  <si>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</si>
  <si>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</si>
  <si>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</si>
  <si>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</si>
  <si>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</si>
  <si>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</si>
  <si>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</si>
  <si>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</si>
  <si>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</si>
  <si>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</si>
  <si>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</si>
  <si>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</si>
  <si>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</si>
  <si>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</si>
  <si>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</si>
  <si>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</si>
  <si>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</si>
  <si>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</si>
  <si>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</si>
  <si>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</si>
  <si>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</si>
  <si>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</si>
  <si>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</si>
  <si>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</si>
  <si>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</si>
  <si>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</si>
  <si>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</si>
  <si>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</si>
  <si>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</si>
  <si>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</si>
  <si>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</si>
  <si>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</si>
  <si>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</si>
  <si>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</si>
  <si>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</si>
  <si>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</si>
  <si>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</si>
  <si>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</si>
  <si>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</si>
  <si>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</si>
  <si>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</si>
  <si>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</si>
  <si>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</si>
  <si>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</si>
  <si>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</si>
  <si>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</si>
  <si>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</si>
  <si>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</si>
  <si>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</si>
  <si>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</si>
  <si>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</si>
  <si>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</si>
  <si>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</si>
  <si>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</si>
  <si>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</si>
  <si>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</si>
  <si>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</si>
  <si>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</si>
  <si>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</si>
  <si>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</si>
  <si>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</si>
  <si>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</si>
  <si>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</si>
  <si>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</si>
  <si>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</si>
  <si>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</si>
  <si>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</si>
  <si>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</si>
  <si>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</si>
  <si>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</si>
  <si>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</si>
  <si>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</si>
  <si>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</si>
  <si>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</si>
  <si>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</si>
  <si>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</si>
  <si>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</si>
  <si>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</si>
  <si>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</si>
  <si>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</si>
  <si>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</si>
  <si>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</si>
  <si>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</si>
  <si>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</si>
  <si>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</si>
  <si>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</si>
  <si>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</si>
  <si>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</si>
  <si>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</si>
  <si>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</si>
  <si>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</si>
  <si>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</si>
  <si>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</si>
  <si>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</si>
  <si>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</si>
  <si>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</si>
  <si>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</si>
  <si>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</si>
  <si>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</si>
  <si>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</si>
  <si>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</si>
  <si>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</si>
  <si>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</si>
  <si>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</si>
  <si>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</si>
  <si>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</si>
  <si>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</si>
  <si>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</si>
  <si>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</si>
  <si>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</si>
  <si>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</si>
  <si>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</si>
  <si>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</si>
  <si>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</si>
  <si>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</si>
  <si>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</si>
  <si>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</si>
  <si>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</si>
  <si>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</si>
  <si>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</si>
  <si>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</si>
  <si>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</si>
  <si>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</si>
  <si>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</si>
  <si>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</si>
  <si>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</si>
  <si>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</si>
  <si>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</si>
  <si>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</si>
  <si>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</si>
  <si>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</si>
  <si>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</si>
  <si>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</si>
  <si>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</si>
  <si>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</si>
  <si>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</si>
  <si>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</si>
  <si>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</si>
  <si>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</si>
  <si>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</si>
  <si>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</si>
  <si>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</si>
  <si>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</si>
  <si>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</si>
  <si>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</si>
  <si>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</si>
  <si>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</si>
  <si>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</si>
  <si>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</si>
  <si>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</si>
  <si>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</si>
  <si>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</si>
  <si>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</si>
  <si>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</si>
  <si>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</si>
  <si>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</si>
  <si>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</si>
  <si>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</si>
  <si>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</si>
  <si>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</si>
  <si>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</si>
  <si>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</si>
  <si>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</si>
  <si>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</si>
  <si>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</si>
  <si>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</si>
  <si>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</si>
  <si>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</si>
  <si>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</si>
  <si>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</si>
  <si>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</si>
  <si>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</si>
  <si>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</si>
  <si>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</si>
  <si>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</si>
  <si>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</si>
  <si>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</si>
  <si>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</si>
  <si>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</si>
  <si>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</si>
  <si>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</si>
  <si>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</si>
  <si>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</si>
  <si>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</si>
  <si>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</si>
  <si>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</si>
  <si>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</si>
  <si>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</si>
  <si>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</si>
  <si>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</si>
  <si>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</si>
  <si>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</si>
  <si>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</si>
  <si>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</si>
  <si>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</si>
  <si>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</si>
  <si>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</si>
  <si>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</si>
  <si>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</si>
  <si>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</si>
  <si>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</si>
  <si>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</si>
  <si>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</si>
  <si>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</si>
  <si>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</si>
  <si>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</si>
  <si>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</si>
  <si>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</si>
  <si>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</si>
  <si>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</si>
  <si>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</si>
  <si>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</si>
  <si>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</si>
  <si>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</si>
  <si>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</si>
  <si>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</si>
  <si>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</si>
  <si>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</si>
  <si>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</si>
  <si>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</si>
  <si>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</si>
  <si>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</si>
  <si>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</si>
  <si>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</si>
  <si>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</si>
  <si>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</si>
  <si>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</si>
  <si>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</si>
  <si>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</si>
  <si>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</si>
  <si>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</si>
  <si>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</si>
  <si>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</si>
  <si>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</si>
  <si>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</si>
  <si>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</si>
  <si>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</si>
  <si>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</si>
  <si>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</si>
  <si>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</si>
  <si>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</si>
  <si>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</si>
  <si>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</si>
  <si>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</si>
  <si>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</si>
  <si>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</si>
  <si>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</si>
  <si>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</si>
  <si>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</si>
  <si>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</si>
  <si>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</si>
  <si>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</si>
  <si>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</si>
  <si>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</si>
  <si>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</si>
  <si>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</si>
  <si>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</si>
  <si>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</si>
  <si>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</si>
  <si>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</si>
  <si>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</si>
  <si>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</si>
  <si>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</si>
  <si>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</si>
  <si>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</si>
  <si>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</si>
  <si>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</si>
  <si>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</si>
  <si>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</si>
  <si>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</si>
  <si>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</si>
  <si>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</si>
  <si>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</si>
  <si>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</si>
  <si>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</si>
  <si>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</si>
  <si>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</si>
  <si>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</si>
  <si>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</si>
  <si>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</si>
  <si>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</si>
  <si>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</si>
  <si>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</si>
  <si>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</si>
  <si>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</si>
  <si>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</si>
  <si>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</si>
  <si>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</si>
  <si>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</si>
  <si>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</si>
  <si>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</si>
  <si>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</si>
  <si>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</si>
  <si>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</si>
  <si>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</si>
  <si>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</si>
  <si>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</si>
  <si>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</si>
  <si>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</si>
  <si>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</si>
  <si>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</si>
  <si>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</si>
  <si>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</si>
  <si>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</si>
  <si>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</si>
  <si>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</si>
  <si>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</si>
  <si>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</si>
  <si>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</si>
  <si>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</si>
  <si>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</si>
  <si>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</si>
  <si>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</si>
  <si>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</si>
  <si>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</si>
  <si>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</si>
  <si>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</si>
  <si>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</si>
  <si>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</si>
  <si>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</si>
  <si>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</si>
  <si>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</si>
  <si>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</si>
  <si>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</si>
  <si>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</si>
  <si>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</si>
  <si>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</si>
  <si>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</si>
  <si>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</si>
  <si>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</si>
  <si>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</si>
  <si>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</si>
  <si>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</si>
  <si>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</si>
  <si>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</si>
  <si>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</si>
  <si>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</si>
  <si>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</si>
  <si>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</si>
  <si>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</si>
  <si>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</si>
  <si>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</si>
  <si>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</si>
  <si>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</si>
  <si>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</si>
  <si>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</si>
  <si>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</si>
  <si>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</si>
  <si>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</si>
  <si>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</si>
  <si>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</si>
  <si>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</si>
  <si>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</si>
  <si>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</si>
  <si>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</si>
  <si>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</si>
  <si>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</si>
  <si>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</si>
  <si>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</si>
  <si>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</si>
  <si>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</si>
  <si>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</si>
  <si>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</si>
  <si>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</si>
  <si>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</si>
  <si>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</si>
  <si>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</si>
  <si>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</si>
  <si>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</si>
  <si>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</si>
  <si>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</si>
  <si>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</si>
  <si>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</si>
  <si>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</si>
  <si>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</si>
  <si>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</si>
  <si>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</si>
  <si>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</si>
  <si>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</si>
  <si>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</si>
  <si>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</si>
  <si>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</si>
  <si>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</si>
  <si>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</si>
  <si>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</si>
  <si>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</si>
  <si>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</si>
  <si>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</si>
  <si>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</si>
  <si>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</si>
  <si>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</si>
  <si>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</si>
  <si>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</si>
  <si>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</si>
  <si>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</si>
  <si>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</si>
  <si>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</si>
  <si>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</si>
  <si>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</si>
  <si>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</si>
  <si>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</si>
  <si>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</si>
  <si>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</si>
  <si>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</si>
  <si>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</si>
  <si>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</si>
  <si>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</si>
  <si>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</si>
  <si>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</si>
  <si>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</si>
  <si>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</si>
  <si>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</si>
  <si>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</si>
  <si>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</si>
  <si>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</si>
  <si>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</si>
  <si>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</si>
  <si>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</si>
  <si>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</si>
  <si>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</si>
  <si>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</si>
  <si>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</si>
  <si>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</si>
  <si>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</si>
  <si>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</si>
  <si>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</si>
  <si>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</si>
  <si>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</si>
  <si>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</si>
  <si>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</si>
  <si>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</si>
  <si>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</si>
  <si>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</si>
  <si>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</si>
  <si>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</si>
  <si>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</si>
  <si>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</si>
  <si>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</si>
  <si>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</si>
  <si>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</si>
  <si>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</si>
  <si>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</si>
  <si>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</si>
  <si>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</si>
  <si>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</si>
  <si>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</si>
  <si>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</si>
  <si>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</si>
  <si>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</si>
  <si>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</si>
  <si>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</si>
  <si>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</si>
  <si>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</si>
  <si>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</si>
  <si>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</si>
  <si>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</si>
  <si>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</si>
  <si>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</si>
  <si>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</si>
  <si>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</si>
  <si>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</si>
  <si>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</si>
  <si>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</si>
  <si>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</si>
  <si>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</si>
  <si>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</si>
  <si>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</si>
  <si>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</si>
  <si>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</si>
  <si>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</si>
  <si>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</si>
  <si>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</si>
  <si>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</si>
  <si>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</si>
  <si>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</si>
  <si>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</si>
  <si>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</si>
  <si>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</si>
  <si>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</si>
  <si>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</si>
  <si>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</si>
  <si>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</si>
  <si>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</si>
  <si>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</si>
  <si>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</si>
  <si>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</si>
  <si>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</si>
  <si>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</si>
  <si>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</si>
  <si>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</si>
  <si>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</si>
  <si>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</si>
  <si>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</si>
  <si>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</si>
  <si>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</si>
  <si>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</si>
  <si>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</si>
  <si>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</si>
  <si>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</si>
  <si>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</si>
  <si>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</si>
  <si>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</si>
  <si>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</si>
  <si>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</si>
  <si>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</si>
  <si>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</si>
  <si>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</si>
  <si>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</si>
  <si>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</si>
  <si>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</si>
  <si>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</si>
  <si>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</si>
  <si>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</si>
  <si>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</si>
  <si>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</si>
  <si>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</si>
  <si>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</si>
  <si>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</si>
  <si>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</si>
  <si>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</si>
  <si>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</si>
  <si>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</si>
  <si>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</si>
  <si>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</si>
  <si>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</si>
  <si>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</si>
  <si>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</si>
  <si>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</si>
  <si>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</si>
  <si>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</si>
  <si>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</si>
  <si>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</si>
  <si>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</si>
  <si>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</si>
  <si>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</si>
  <si>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</si>
  <si>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</si>
  <si>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</si>
  <si>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</si>
  <si>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</si>
  <si>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</si>
  <si>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</si>
  <si>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</si>
  <si>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</si>
  <si>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</si>
  <si>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</si>
  <si>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</si>
  <si>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</si>
  <si>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</si>
  <si>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</si>
  <si>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</si>
  <si>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</si>
  <si>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</si>
  <si>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</si>
  <si>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</si>
  <si>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</si>
  <si>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</si>
  <si>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</si>
  <si>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</si>
  <si>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</si>
  <si>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</si>
  <si>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</si>
  <si>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</si>
  <si>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</si>
  <si>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</si>
  <si>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</si>
  <si>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</si>
  <si>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</si>
  <si>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</si>
  <si>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</si>
  <si>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</si>
  <si>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</si>
  <si>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</si>
  <si>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</si>
  <si>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</si>
  <si>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</si>
  <si>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</si>
  <si>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</si>
  <si>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</si>
  <si>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</si>
  <si>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</si>
  <si>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</si>
  <si>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</si>
  <si>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</si>
  <si>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</si>
  <si>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</si>
  <si>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</si>
  <si>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</si>
  <si>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</si>
  <si>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</si>
  <si>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</si>
  <si>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</si>
  <si>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</si>
  <si>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</si>
  <si>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</si>
  <si>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</si>
  <si>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</si>
  <si>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</si>
  <si>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</si>
  <si>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</si>
  <si>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</si>
  <si>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</si>
  <si>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</si>
  <si>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</si>
  <si>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</si>
  <si>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</si>
  <si>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</si>
  <si>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</si>
  <si>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</si>
  <si>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</si>
  <si>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</si>
  <si>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</si>
  <si>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</si>
  <si>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</si>
  <si>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</si>
  <si>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</si>
  <si>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</si>
  <si>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</si>
  <si>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</si>
  <si>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</si>
  <si>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</si>
  <si>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</si>
  <si>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</si>
  <si>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</si>
  <si>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</si>
  <si>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</si>
  <si>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</si>
  <si>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</si>
  <si>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</si>
  <si>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</si>
  <si>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</si>
  <si>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</si>
  <si>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</si>
  <si>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</si>
  <si>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</si>
  <si>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</si>
  <si>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</si>
  <si>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</si>
  <si>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</si>
  <si>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</si>
  <si>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</si>
  <si>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</si>
  <si>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</si>
  <si>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</si>
  <si>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</si>
  <si>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</si>
  <si>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</si>
  <si>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</si>
  <si>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</si>
  <si>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</si>
  <si>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</si>
  <si>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</si>
  <si>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</si>
  <si>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</si>
  <si>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</si>
  <si>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</si>
  <si>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</si>
  <si>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</si>
  <si>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</si>
  <si>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</si>
  <si>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</si>
  <si>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</si>
  <si>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</si>
  <si>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</si>
  <si>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</si>
  <si>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</si>
  <si>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</si>
  <si>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</si>
  <si>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</si>
  <si>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</si>
  <si>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</si>
  <si>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</si>
  <si>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</si>
  <si>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</si>
  <si>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</si>
  <si>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</si>
  <si>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</si>
  <si>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</si>
  <si>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</si>
  <si>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</si>
  <si>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</si>
  <si>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</si>
  <si>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</si>
  <si>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</si>
  <si>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</si>
  <si>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</si>
  <si>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</si>
  <si>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</si>
  <si>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</si>
  <si>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</si>
  <si>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</si>
  <si>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</si>
  <si>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</si>
  <si>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</si>
  <si>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</si>
  <si>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</si>
  <si>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</si>
  <si>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</si>
  <si>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</si>
  <si>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</si>
  <si>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</si>
  <si>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</si>
  <si>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</si>
  <si>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</si>
  <si>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</si>
  <si>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</si>
  <si>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</si>
  <si>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</si>
  <si>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</si>
  <si>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</si>
  <si>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</si>
  <si>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</si>
  <si>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</si>
  <si>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</si>
  <si>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</si>
  <si>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</si>
  <si>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</si>
  <si>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</si>
  <si>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</si>
  <si>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</si>
  <si>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</si>
  <si>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</si>
  <si>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</si>
  <si>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</si>
  <si>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</si>
  <si>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</si>
  <si>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</si>
  <si>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</si>
  <si>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</si>
  <si>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</si>
  <si>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</si>
  <si>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</si>
  <si>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</si>
  <si>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</si>
  <si>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</si>
  <si>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</si>
  <si>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</si>
  <si>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</si>
  <si>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</si>
  <si>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</si>
  <si>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</si>
  <si>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</si>
  <si>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</si>
  <si>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</si>
  <si>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</si>
  <si>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</si>
  <si>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</si>
  <si>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</si>
  <si>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</si>
  <si>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</si>
  <si>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</si>
  <si>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</si>
  <si>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</si>
  <si>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</si>
  <si>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</si>
  <si>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</si>
  <si>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</si>
  <si>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</si>
  <si>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</si>
  <si>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</si>
  <si>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</si>
  <si>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</si>
  <si>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</si>
  <si>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</si>
  <si>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</si>
  <si>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</si>
  <si>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</si>
  <si>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</si>
  <si>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</si>
  <si>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</si>
  <si>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</si>
  <si>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</si>
  <si>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</si>
  <si>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</si>
  <si>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</si>
  <si>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</si>
  <si>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</si>
  <si>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</si>
  <si>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</si>
  <si>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</si>
  <si>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</si>
  <si>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</si>
  <si>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</si>
  <si>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</si>
  <si>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</si>
  <si>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</si>
  <si>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</si>
  <si>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</si>
  <si>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</si>
  <si>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</si>
  <si>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</si>
  <si>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</si>
  <si>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</si>
  <si>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</si>
  <si>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</si>
  <si>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</si>
  <si>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</si>
  <si>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</si>
  <si>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</si>
  <si>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</si>
  <si>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</si>
  <si>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</si>
  <si>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</si>
  <si>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</si>
  <si>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</si>
  <si>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</si>
  <si>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</si>
  <si>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</si>
  <si>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</si>
  <si>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</si>
  <si>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</si>
  <si>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</si>
  <si>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</si>
  <si>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</si>
  <si>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</si>
  <si>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</si>
  <si>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</si>
  <si>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</si>
  <si>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</si>
  <si>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</si>
  <si>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</si>
  <si>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</si>
  <si>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</si>
  <si>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</si>
  <si>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</si>
  <si>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</si>
  <si>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</si>
  <si>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</si>
  <si>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</si>
  <si>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</si>
  <si>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</si>
  <si>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</si>
  <si>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</si>
  <si>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</si>
  <si>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</si>
  <si>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</si>
  <si>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</si>
  <si>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</si>
  <si>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</si>
  <si>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</si>
  <si>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</si>
  <si>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</si>
  <si>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</si>
  <si>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</si>
  <si>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</si>
  <si>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</si>
  <si>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</si>
  <si>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</si>
  <si>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</si>
  <si>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</si>
  <si>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</si>
  <si>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</si>
  <si>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</si>
  <si>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</si>
  <si>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</si>
  <si>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</si>
  <si>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</si>
  <si>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</si>
  <si>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</si>
  <si>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</si>
  <si>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</si>
  <si>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</si>
  <si>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</si>
  <si>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</si>
  <si>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</si>
  <si>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</si>
  <si>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</si>
  <si>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</si>
  <si>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</si>
  <si>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</si>
  <si>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</si>
  <si>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</si>
  <si>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</si>
  <si>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</si>
  <si>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</si>
  <si>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</si>
  <si>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</si>
  <si>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</si>
  <si>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</si>
  <si>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</si>
  <si>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</si>
  <si>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</si>
  <si>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</si>
  <si>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</si>
  <si>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</si>
  <si>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</si>
  <si>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</si>
  <si>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</si>
  <si>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</si>
  <si>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</si>
  <si>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</si>
  <si>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</si>
  <si>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</si>
  <si>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</si>
  <si>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</si>
  <si>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</si>
  <si>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</si>
  <si>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</si>
  <si>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</si>
  <si>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</si>
  <si>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</si>
  <si>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</si>
  <si>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</si>
  <si>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</si>
  <si>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</si>
  <si>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</si>
  <si>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</si>
  <si>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</si>
  <si>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</si>
  <si>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</si>
  <si>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</si>
  <si>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</si>
  <si>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</si>
  <si>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</si>
  <si>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</si>
  <si>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</si>
  <si>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</si>
  <si>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</si>
  <si>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</si>
  <si>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</si>
  <si>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</si>
  <si>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</si>
  <si>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</si>
  <si>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</si>
  <si>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</si>
  <si>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</si>
  <si>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</si>
  <si>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</si>
  <si>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</si>
  <si>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</si>
  <si>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</si>
  <si>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</si>
  <si>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</si>
  <si>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</si>
  <si>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</si>
  <si>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</si>
  <si>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</si>
  <si>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</si>
  <si>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</si>
  <si>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</si>
  <si>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</si>
  <si>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</si>
  <si>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</si>
  <si>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</si>
  <si>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</si>
  <si>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</si>
  <si>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</si>
  <si>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</si>
  <si>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</si>
  <si>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</si>
  <si>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</si>
  <si>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</si>
  <si>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</si>
  <si>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</si>
  <si>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</si>
  <si>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</si>
  <si>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</si>
  <si>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</si>
  <si>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</si>
  <si>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</si>
  <si>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</si>
  <si>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</si>
  <si>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</si>
  <si>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</si>
  <si>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</si>
  <si>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</si>
  <si>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</si>
  <si>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</si>
  <si>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</si>
  <si>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</si>
  <si>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</si>
  <si>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</si>
  <si>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</si>
  <si>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</si>
  <si>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</si>
  <si>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</si>
  <si>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</si>
  <si>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</si>
  <si>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</si>
  <si>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</si>
  <si>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</si>
  <si>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</si>
  <si>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</si>
  <si>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</si>
  <si>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</si>
  <si>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</si>
  <si>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</si>
  <si>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</si>
  <si>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</si>
  <si>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</si>
  <si>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</si>
  <si>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</si>
  <si>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</si>
  <si>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</si>
  <si>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</si>
  <si>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</si>
  <si>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</si>
  <si>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</si>
  <si>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</si>
  <si>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</si>
  <si>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</si>
  <si>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</si>
  <si>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</si>
  <si>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</si>
  <si>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</si>
  <si>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</si>
  <si>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</si>
  <si>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</si>
  <si>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</si>
  <si>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</si>
  <si>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</si>
  <si>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</si>
  <si>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</si>
  <si>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</si>
  <si>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</si>
  <si>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</si>
  <si>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</si>
  <si>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</si>
  <si>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</si>
  <si>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</si>
  <si>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</si>
  <si>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</si>
  <si>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</si>
  <si>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</si>
  <si>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</si>
  <si>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</si>
  <si>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</si>
  <si>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</si>
  <si>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</si>
  <si>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</si>
  <si>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</si>
  <si>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</si>
  <si>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</si>
  <si>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</si>
  <si>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</si>
  <si>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</si>
  <si>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</si>
  <si>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</si>
  <si>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</si>
  <si>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</si>
  <si>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</si>
  <si>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</si>
  <si>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</si>
  <si>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</si>
  <si>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</si>
  <si>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</si>
  <si>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</si>
  <si>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</si>
  <si>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</si>
  <si>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</si>
  <si>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</si>
  <si>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</si>
  <si>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</si>
  <si>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</si>
  <si>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</si>
  <si>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</si>
  <si>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</si>
  <si>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</si>
  <si>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</si>
  <si>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</si>
  <si>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</si>
  <si>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</si>
  <si>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</si>
  <si>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</si>
  <si>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</si>
  <si>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</si>
  <si>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</si>
  <si>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</si>
  <si>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</si>
  <si>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</si>
  <si>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</si>
  <si>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</si>
  <si>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</si>
  <si>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</si>
  <si>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</si>
  <si>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</si>
  <si>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</si>
  <si>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</si>
  <si>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</si>
  <si>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</si>
  <si>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</si>
  <si>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</si>
  <si>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</si>
  <si>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</si>
  <si>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</si>
  <si>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</si>
  <si>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</si>
  <si>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</si>
  <si>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</si>
  <si>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</si>
  <si>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</si>
  <si>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</si>
  <si>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</si>
  <si>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</si>
  <si>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</si>
  <si>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</si>
  <si>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</si>
  <si>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</si>
  <si>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</si>
  <si>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</si>
  <si>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</si>
  <si>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</si>
  <si>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</si>
  <si>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</si>
  <si>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</si>
  <si>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</si>
  <si>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</si>
  <si>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</si>
  <si>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</si>
  <si>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</si>
  <si>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</si>
  <si>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</si>
  <si>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</si>
  <si>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</si>
  <si>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</si>
  <si>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</si>
  <si>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</si>
  <si>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</si>
  <si>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</si>
  <si>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</si>
  <si>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</si>
  <si>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</si>
  <si>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</si>
  <si>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</si>
  <si>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</si>
  <si>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</si>
  <si>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</si>
  <si>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</si>
  <si>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</si>
  <si>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</si>
  <si>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</si>
  <si>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</si>
  <si>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</si>
  <si>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</si>
  <si>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</si>
  <si>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</si>
  <si>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</si>
  <si>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</si>
  <si>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</si>
  <si>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</si>
  <si>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</si>
  <si>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</si>
  <si>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</si>
  <si>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</si>
  <si>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</si>
  <si>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</si>
  <si>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</si>
  <si>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</si>
  <si>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</si>
  <si>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</si>
  <si>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</si>
  <si>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</si>
  <si>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</si>
  <si>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</si>
  <si>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</si>
  <si>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</si>
  <si>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</si>
  <si>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</si>
  <si>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</si>
  <si>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</si>
  <si>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</si>
  <si>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</si>
  <si>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</si>
  <si>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</si>
  <si>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</si>
  <si>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</si>
  <si>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</si>
  <si>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</si>
  <si>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</si>
  <si>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</si>
  <si>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</si>
  <si>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</si>
  <si>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</si>
  <si>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</si>
  <si>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</si>
  <si>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</si>
  <si>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</si>
  <si>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</si>
  <si>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</si>
  <si>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</si>
  <si>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</si>
  <si>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</si>
  <si>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</si>
  <si>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</si>
  <si>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</si>
  <si>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</si>
  <si>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</si>
  <si>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</si>
  <si>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</si>
  <si>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</si>
  <si>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</si>
  <si>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</si>
  <si>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</si>
  <si>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</si>
  <si>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</si>
  <si>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</si>
  <si>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</si>
  <si>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</si>
  <si>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</si>
  <si>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</si>
  <si>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</si>
  <si>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</si>
  <si>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</si>
  <si>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</si>
  <si>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</si>
  <si>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</si>
  <si>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</si>
  <si>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</si>
  <si>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</si>
  <si>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</si>
  <si>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</si>
  <si>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</si>
  <si>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</si>
  <si>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</si>
  <si>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</si>
  <si>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</si>
  <si>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</si>
  <si>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</si>
  <si>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</si>
  <si>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</si>
  <si>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</si>
  <si>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</si>
  <si>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</si>
  <si>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</si>
  <si>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</si>
  <si>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</si>
  <si>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</si>
  <si>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</si>
  <si>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</si>
  <si>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</si>
  <si>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</si>
  <si>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</si>
  <si>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</si>
  <si>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</si>
  <si>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</si>
  <si>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</si>
  <si>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</si>
  <si>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</si>
  <si>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</si>
  <si>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</si>
  <si>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</si>
  <si>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</si>
  <si>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</si>
  <si>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</si>
  <si>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</si>
  <si>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</si>
  <si>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</si>
  <si>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</si>
  <si>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</si>
  <si>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</si>
  <si>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</si>
  <si>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</si>
  <si>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</si>
  <si>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</si>
  <si>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</si>
  <si>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</si>
  <si>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</si>
  <si>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</si>
  <si>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</si>
  <si>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</si>
  <si>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</si>
  <si>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</si>
  <si>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</si>
  <si>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</si>
  <si>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</si>
  <si>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</si>
  <si>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</si>
  <si>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</si>
  <si>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</si>
  <si>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</si>
  <si>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</si>
  <si>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</si>
  <si>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</si>
  <si>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</si>
  <si>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</si>
  <si>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</si>
  <si>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</si>
  <si>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</si>
  <si>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</si>
  <si>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</si>
  <si>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</si>
  <si>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</si>
  <si>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</si>
  <si>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</si>
  <si>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</si>
  <si>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</si>
  <si>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</si>
  <si>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</si>
  <si>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</si>
  <si>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</si>
  <si>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</si>
  <si>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</si>
  <si>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</si>
  <si>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</si>
  <si>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</si>
  <si>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</si>
  <si>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</si>
  <si>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</si>
  <si>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</si>
  <si>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Overall Sales of the Month</t>
  </si>
  <si>
    <t>Sum of Final Price</t>
  </si>
  <si>
    <t>(blank)</t>
  </si>
  <si>
    <t>Grand Total</t>
  </si>
  <si>
    <t>Average Sales per Transaction,    Highest Sale Order,    Lowest Sales Order / Transaction</t>
  </si>
  <si>
    <t>Average sales</t>
  </si>
  <si>
    <t>Highest Sales</t>
  </si>
  <si>
    <t>Lowest Sales</t>
  </si>
  <si>
    <t xml:space="preserve">No of Sales, Overall Sales, Average Sales of Each Agent along with Online and Offline transactions </t>
  </si>
  <si>
    <t>No of Sales</t>
  </si>
  <si>
    <t>Overall Sales</t>
  </si>
  <si>
    <t>Average Sales</t>
  </si>
  <si>
    <t xml:space="preserve">No of Sales,    Overall Sales,    Average Sales    of Each Agent </t>
  </si>
  <si>
    <t>Overall Sales for each product -  Highest to Lowest sales by Product</t>
  </si>
  <si>
    <t>Product Name2</t>
  </si>
  <si>
    <t>GROUP3</t>
  </si>
  <si>
    <t>GROUP1</t>
  </si>
  <si>
    <t>GROUP2</t>
  </si>
  <si>
    <t>Overall Sales for each product -  Only if the product is Crispy</t>
  </si>
  <si>
    <t xml:space="preserve">Product </t>
  </si>
  <si>
    <t>Overall Sales for each product -  Only if the sale value is over 10000</t>
  </si>
  <si>
    <t>Overall Sales,    Average Sales  of Each Product but Only when the Order was placed Online</t>
  </si>
  <si>
    <t>(ALL)</t>
  </si>
  <si>
    <t>Overall Sales for each day of the Month</t>
  </si>
  <si>
    <t>01-11-2023-07-11-2023</t>
  </si>
  <si>
    <t>08-11-2023-14-11-2023</t>
  </si>
  <si>
    <t>15-11-2023-21-11-2023</t>
  </si>
  <si>
    <t>22-11-2023-28-11-2023</t>
  </si>
  <si>
    <t>29-11-2023-05-12-2023</t>
  </si>
  <si>
    <t>Overall Sales for each day of the Month and also the Customer Satisfaction for Each day of the month</t>
  </si>
  <si>
    <t>Average of Rating Given</t>
  </si>
  <si>
    <t>Group the Sale Dates into Week and Find the sales for Each Week</t>
  </si>
  <si>
    <t>Week 1</t>
  </si>
  <si>
    <t>Week 2</t>
  </si>
  <si>
    <t>Week 3</t>
  </si>
  <si>
    <t>Week 4</t>
  </si>
  <si>
    <t>Week 5</t>
  </si>
  <si>
    <t>Top 3 Products &amp; Bottom 3 Products in terms of the Overall Sales,   but include the Customer Satisfaction</t>
  </si>
  <si>
    <t>Group the Rating of the Customers into 3 categories and find the sales for each of that category</t>
  </si>
  <si>
    <t>Highly Satisfaction - 8 and above</t>
  </si>
  <si>
    <t>Neutral - 4 to 8</t>
  </si>
  <si>
    <t>Poor Satisfaction  - less than 4</t>
  </si>
  <si>
    <t>Customer Satisfication</t>
  </si>
  <si>
    <t>Count of Customer Name</t>
  </si>
  <si>
    <t>Poor Satisfication</t>
  </si>
  <si>
    <t>Neutral</t>
  </si>
  <si>
    <t>Highly Satisfication</t>
  </si>
  <si>
    <t>Group the Products Into Cripy, Spicy and Other and perform basis analysis of the same</t>
  </si>
  <si>
    <t>Product category</t>
  </si>
  <si>
    <t>Ratings</t>
  </si>
  <si>
    <t>No of Order ID</t>
  </si>
  <si>
    <t>Others</t>
  </si>
  <si>
    <t>Crispy</t>
  </si>
  <si>
    <t>Spicy</t>
  </si>
  <si>
    <t>Analyze the Reports Using Slicer for Online Vs Offline Sales and also by Agents</t>
  </si>
  <si>
    <t>Average of Final Price</t>
  </si>
  <si>
    <t>Sale Amount</t>
  </si>
  <si>
    <t>Avg Price</t>
  </si>
  <si>
    <t>Product</t>
  </si>
  <si>
    <t>Analyze the Reports Using Slicer for Dates</t>
  </si>
  <si>
    <t>Overall C-Sat</t>
  </si>
  <si>
    <t xml:space="preserve">No of Orders </t>
  </si>
  <si>
    <t>Average of Discount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</si>
</sst>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&quot;$&quot;#,##0"/>
    <numFmt numFmtId="182" formatCode="&quot;$&quot;#,##0.00"/>
    <numFmt numFmtId="183" formatCode="[$$-409]#,##0_);[Red]\([$$-409]#,##0\)"/>
    <numFmt numFmtId="184" formatCode="0.0"/>
    <numFmt numFmtId="185" formatCode="[$$-409]#,##0;\-[$$-409]#,##0"/>
    <numFmt numFmtId="186" formatCode="[$$-409]#,##0.00;\-[$$-409]#,##0.00"/>
    <numFmt numFmtId="187" formatCode="dd/mmm/yy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4" fillId="2" borderId="0" xfId="0" applyFont="1" applyFill="1" applyAlignment="1">
      <alignment horizontal="left" indent="2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81" fontId="0" fillId="0" borderId="0" xfId="0" applyNumberFormat="1"/>
    <xf numFmtId="182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0" fontId="5" fillId="2" borderId="0" xfId="0" applyFont="1" applyFill="1" applyAlignment="1">
      <alignment horizontal="left" indent="2"/>
    </xf>
    <xf numFmtId="186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 indent="2"/>
    </xf>
    <xf numFmtId="0" fontId="6" fillId="2" borderId="0" xfId="0" applyFont="1" applyFill="1"/>
    <xf numFmtId="0" fontId="7" fillId="3" borderId="0" xfId="0" applyFont="1" applyFill="1" applyAlignment="1">
      <alignment horizontal="center"/>
    </xf>
    <xf numFmtId="18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9">
    <dxf>
      <alignment horizontal="center"/>
    </dxf>
    <dxf>
      <numFmt numFmtId="186" formatCode="[$$-409]#,##0.00;\-[$$-409]#,##0.00"/>
    </dxf>
    <dxf>
      <alignment horizontal="center"/>
    </dxf>
    <dxf>
      <numFmt numFmtId="185" formatCode="[$$-409]#,##0;\-[$$-409]#,##0"/>
    </dxf>
    <dxf>
      <numFmt numFmtId="185" formatCode="[$$-409]#,##0;\-[$$-409]#,##0"/>
    </dxf>
    <dxf>
      <numFmt numFmtId="185" formatCode="[$$-409]#,##0;\-[$$-409]#,##0"/>
    </dxf>
    <dxf>
      <numFmt numFmtId="188" formatCode="[$$-409]#,##0.0;\-[$$-409]#,##0.0"/>
    </dxf>
    <dxf>
      <numFmt numFmtId="189" formatCode="[$$-409]#,##0.0;\-[$$-409]#,##0.0"/>
    </dxf>
    <dxf>
      <numFmt numFmtId="190" formatCode="[$$-409]#,##0.0;\-[$$-409]#,##0.0"/>
    </dxf>
    <dxf>
      <numFmt numFmtId="186" formatCode="[$$-409]#,##0.00;\-[$$-409]#,##0.00"/>
    </dxf>
    <dxf>
      <numFmt numFmtId="186" formatCode="[$$-409]#,##0.00;\-[$$-409]#,##0.00"/>
    </dxf>
    <dxf>
      <numFmt numFmtId="186" formatCode="[$$-409]#,##0.00;\-[$$-409]#,##0.00"/>
    </dxf>
    <dxf>
      <numFmt numFmtId="185" formatCode="[$$-409]#,##0;\-[$$-409]#,##0"/>
    </dxf>
    <dxf>
      <numFmt numFmtId="191" formatCode="[$$-409]#,##0.0;\-[$$-409]#,##0.0"/>
    </dxf>
    <dxf>
      <numFmt numFmtId="186" formatCode="[$$-409]#,##0.00;\-[$$-409]#,##0.00"/>
    </dxf>
    <dxf>
      <numFmt numFmtId="186" formatCode="[$$-409]#,##0.00;\-[$$-409]#,##0.00"/>
    </dxf>
    <dxf>
      <numFmt numFmtId="192" formatCode="[$$-409]#,##0.0;\-[$$-409]#,##0.0"/>
    </dxf>
    <dxf>
      <numFmt numFmtId="185" formatCode="[$$-409]#,##0;\-[$$-409]#,##0"/>
    </dxf>
    <dxf>
      <numFmt numFmtId="193" formatCode="[$$-409]#,##0.0;\-[$$-409]#,##0.0"/>
    </dxf>
    <dxf>
      <numFmt numFmtId="185" formatCode="[$$-409]#,##0;\-[$$-409]#,##0"/>
    </dxf>
    <dxf>
      <numFmt numFmtId="184" formatCode="0.0"/>
    </dxf>
    <dxf>
      <numFmt numFmtId="184" formatCode="0.0"/>
    </dxf>
    <dxf>
      <numFmt numFmtId="2" formatCode="0.00"/>
    </dxf>
    <dxf>
      <numFmt numFmtId="184" formatCode="0.0"/>
    </dxf>
    <dxf>
      <numFmt numFmtId="184" formatCode="0.0"/>
    </dxf>
    <dxf>
      <numFmt numFmtId="194" formatCode="0.00_);[Red]\(0.00\)"/>
    </dxf>
    <dxf>
      <numFmt numFmtId="195" formatCode="&quot;₹&quot;#,##0.00_);[Red]\(&quot;₹&quot;#,##0.00\)"/>
    </dxf>
    <dxf>
      <numFmt numFmtId="183" formatCode="[$$-409]#,##0_);[Red]\([$$-409]#,##0\)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82" formatCode="&quot;$&quot;#,##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81" formatCode="&quot;$&quot;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81" formatCode="&quot;$&quot;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82" formatCode="&quot;$&quot;#,##0.00"/>
    </dxf>
    <dxf>
      <alignment horizontal="center"/>
    </dxf>
    <dxf>
      <numFmt numFmtId="196" formatCode="0.00000000_ "/>
    </dxf>
    <dxf>
      <numFmt numFmtId="197" formatCode="0.0000000_ "/>
    </dxf>
    <dxf>
      <numFmt numFmtId="198" formatCode="0.000000_ "/>
    </dxf>
    <dxf>
      <numFmt numFmtId="199" formatCode="0.00000_ "/>
    </dxf>
    <dxf>
      <numFmt numFmtId="200" formatCode="0.0000_ "/>
    </dxf>
    <dxf>
      <numFmt numFmtId="201" formatCode="0.000_ "/>
    </dxf>
    <dxf>
      <numFmt numFmtId="202" formatCode="0.00_ "/>
    </dxf>
    <dxf>
      <numFmt numFmtId="203" formatCode="0.0_ "/>
    </dxf>
    <dxf>
      <numFmt numFmtId="204" formatCode="0_ "/>
    </dxf>
    <dxf>
      <numFmt numFmtId="205" formatCode="0.0_ "/>
    </dxf>
    <dxf>
      <numFmt numFmtId="206" formatCode="0.00_ "/>
    </dxf>
    <dxf>
      <numFmt numFmtId="207" formatCode="0.000_ "/>
    </dxf>
    <dxf>
      <numFmt numFmtId="208" formatCode="0.0000_ "/>
    </dxf>
    <dxf>
      <numFmt numFmtId="209" formatCode="0.00000_ "/>
    </dxf>
    <dxf>
      <numFmt numFmtId="210" formatCode="0.000000_ "/>
    </dxf>
    <dxf>
      <numFmt numFmtId="211" formatCode="0.0000000_ "/>
    </dxf>
    <dxf>
      <numFmt numFmtId="212" formatCode="0.00000000_ "/>
    </dxf>
    <dxf>
      <numFmt numFmtId="213" formatCode="0.000000000_ "/>
    </dxf>
    <dxf>
      <numFmt numFmtId="214" formatCode="0.0000000000_ 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  <dxf>
      <numFmt numFmtId="10" formatCode="0.00%"/>
    </dxf>
    <dxf>
      <numFmt numFmtId="180" formatCode="0.0%"/>
    </dxf>
    <dxf>
      <numFmt numFmtId="10" formatCode="0.00%"/>
    </dxf>
    <dxf>
      <numFmt numFmtId="215" formatCode="0.000%"/>
    </dxf>
    <dxf>
      <numFmt numFmtId="216" formatCode="0.0000%"/>
    </dxf>
    <dxf>
      <numFmt numFmtId="217" formatCode="0.00000%"/>
    </dxf>
    <dxf>
      <numFmt numFmtId="218" formatCode="0.000000%"/>
    </dxf>
    <dxf>
      <numFmt numFmtId="219" formatCode="0.0000000%"/>
    </dxf>
    <dxf>
      <numFmt numFmtId="220" formatCode="0.00000000%"/>
    </dxf>
    <dxf>
      <numFmt numFmtId="221" formatCode="0.00_);[Red]\(0.00\)"/>
    </dxf>
    <dxf>
      <numFmt numFmtId="222" formatCode="0.000_);[Red]\(0.000\)"/>
    </dxf>
    <dxf>
      <numFmt numFmtId="223" formatCode="0.0000_);[Red]\(0.0000\)"/>
    </dxf>
    <dxf>
      <numFmt numFmtId="224" formatCode="0.00000_);[Red]\(0.00000\)"/>
    </dxf>
    <dxf>
      <numFmt numFmtId="225" formatCode="0.000000_);[Red]\(0.000000\)"/>
    </dxf>
    <dxf>
      <numFmt numFmtId="226" formatCode="0.0000000_);[Red]\(0.0000000\)"/>
    </dxf>
    <dxf>
      <numFmt numFmtId="227" formatCode="0.00000000_);[Red]\(0.00000000\)"/>
    </dxf>
    <dxf>
      <numFmt numFmtId="228" formatCode="0.000000000_);[Red]\(0.000000000\)"/>
    </dxf>
    <dxf>
      <numFmt numFmtId="10" formatCode="0.00%"/>
    </dxf>
    <dxf>
      <numFmt numFmtId="229" formatCode="0.00_);[Red]\(0.00\)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  <dxf>
      <alignment horizontal="center"/>
    </dxf>
    <dxf>
      <alignment horizontal="center"/>
    </dxf>
    <dxf>
      <numFmt numFmtId="230" formatCode="0.00000000_ "/>
    </dxf>
    <dxf>
      <numFmt numFmtId="231" formatCode="0.0000000_ "/>
    </dxf>
    <dxf>
      <numFmt numFmtId="232" formatCode="0.000000_ "/>
    </dxf>
    <dxf>
      <numFmt numFmtId="233" formatCode="0.00000_ "/>
    </dxf>
    <dxf>
      <numFmt numFmtId="234" formatCode="0.0000_ "/>
    </dxf>
    <dxf>
      <numFmt numFmtId="235" formatCode="0.000_ "/>
    </dxf>
    <dxf>
      <numFmt numFmtId="236" formatCode="0.00_ "/>
    </dxf>
    <dxf>
      <numFmt numFmtId="237" formatCode="0.0_ "/>
    </dxf>
    <dxf>
      <numFmt numFmtId="238" formatCode="0_ "/>
    </dxf>
    <dxf>
      <numFmt numFmtId="239" formatCode="0.0_ "/>
    </dxf>
    <dxf>
      <numFmt numFmtId="240" formatCode="0.00_ "/>
    </dxf>
    <dxf>
      <numFmt numFmtId="241" formatCode="0.000_ "/>
    </dxf>
    <dxf>
      <numFmt numFmtId="242" formatCode="0.0000_ "/>
    </dxf>
    <dxf>
      <numFmt numFmtId="243" formatCode="0.00000_ "/>
    </dxf>
    <dxf>
      <numFmt numFmtId="244" formatCode="0.000000_ "/>
    </dxf>
    <dxf>
      <numFmt numFmtId="245" formatCode="0.0000000_ "/>
    </dxf>
    <dxf>
      <numFmt numFmtId="246" formatCode="0.00000000_ "/>
    </dxf>
    <dxf>
      <numFmt numFmtId="247" formatCode="0.000000000_ "/>
    </dxf>
    <dxf>
      <numFmt numFmtId="248" formatCode="0.0000000000_ 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  <dxf>
      <numFmt numFmtId="10" formatCode="0.00%"/>
    </dxf>
    <dxf>
      <numFmt numFmtId="180" formatCode="0.0%"/>
    </dxf>
    <dxf>
      <numFmt numFmtId="10" formatCode="0.00%"/>
    </dxf>
    <dxf>
      <numFmt numFmtId="249" formatCode="0.000%"/>
    </dxf>
    <dxf>
      <numFmt numFmtId="250" formatCode="0.0000%"/>
    </dxf>
    <dxf>
      <numFmt numFmtId="251" formatCode="0.00000%"/>
    </dxf>
    <dxf>
      <numFmt numFmtId="252" formatCode="0.000000%"/>
    </dxf>
    <dxf>
      <numFmt numFmtId="253" formatCode="0.0000000%"/>
    </dxf>
    <dxf>
      <numFmt numFmtId="254" formatCode="0.00000000%"/>
    </dxf>
    <dxf>
      <numFmt numFmtId="255" formatCode="0.00_);[Red]\(0.00\)"/>
    </dxf>
    <dxf>
      <numFmt numFmtId="256" formatCode="0.000_);[Red]\(0.000\)"/>
    </dxf>
    <dxf>
      <numFmt numFmtId="257" formatCode="0.0000_);[Red]\(0.0000\)"/>
    </dxf>
    <dxf>
      <numFmt numFmtId="258" formatCode="0.00000_);[Red]\(0.00000\)"/>
    </dxf>
    <dxf>
      <numFmt numFmtId="259" formatCode="0.000000_);[Red]\(0.000000\)"/>
    </dxf>
    <dxf>
      <numFmt numFmtId="260" formatCode="0.0000000_);[Red]\(0.0000000\)"/>
    </dxf>
    <dxf>
      <numFmt numFmtId="261" formatCode="0.00000000_);[Red]\(0.00000000\)"/>
    </dxf>
    <dxf>
      <numFmt numFmtId="262" formatCode="0.000000000_);[Red]\(0.000000000\)"/>
    </dxf>
    <dxf>
      <numFmt numFmtId="10" formatCode="0.00%"/>
    </dxf>
    <dxf>
      <numFmt numFmtId="263" formatCode="0.00_);[Red]\(0.00\)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  <dxf>
      <alignment horizontal="center"/>
    </dxf>
    <dxf>
      <numFmt numFmtId="264" formatCode="0.00000000_ "/>
    </dxf>
    <dxf>
      <numFmt numFmtId="265" formatCode="0.0000000_ "/>
    </dxf>
    <dxf>
      <numFmt numFmtId="266" formatCode="0.000000_ "/>
    </dxf>
    <dxf>
      <numFmt numFmtId="267" formatCode="0.00000_ "/>
    </dxf>
    <dxf>
      <numFmt numFmtId="268" formatCode="0.0000_ "/>
    </dxf>
    <dxf>
      <numFmt numFmtId="269" formatCode="0.000_ "/>
    </dxf>
    <dxf>
      <numFmt numFmtId="270" formatCode="0.00_ "/>
    </dxf>
    <dxf>
      <numFmt numFmtId="271" formatCode="0.0_ "/>
    </dxf>
    <dxf>
      <numFmt numFmtId="272" formatCode="0_ "/>
    </dxf>
    <dxf>
      <numFmt numFmtId="273" formatCode="0.0_ "/>
    </dxf>
    <dxf>
      <numFmt numFmtId="274" formatCode="0.00_ "/>
    </dxf>
    <dxf>
      <numFmt numFmtId="275" formatCode="0.000_ "/>
    </dxf>
    <dxf>
      <numFmt numFmtId="276" formatCode="0.0000_ "/>
    </dxf>
    <dxf>
      <numFmt numFmtId="277" formatCode="0.00000_ "/>
    </dxf>
    <dxf>
      <numFmt numFmtId="278" formatCode="0.000000_ "/>
    </dxf>
    <dxf>
      <numFmt numFmtId="279" formatCode="0.0000000_ "/>
    </dxf>
    <dxf>
      <numFmt numFmtId="280" formatCode="0.00000000_ "/>
    </dxf>
    <dxf>
      <numFmt numFmtId="281" formatCode="0.000000000_ "/>
    </dxf>
    <dxf>
      <numFmt numFmtId="282" formatCode="0.0000000000_ 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  <dxf>
      <numFmt numFmtId="10" formatCode="0.00%"/>
    </dxf>
    <dxf>
      <numFmt numFmtId="180" formatCode="0.0%"/>
    </dxf>
    <dxf>
      <numFmt numFmtId="10" formatCode="0.00%"/>
    </dxf>
    <dxf>
      <numFmt numFmtId="283" formatCode="0.000%"/>
    </dxf>
    <dxf>
      <numFmt numFmtId="284" formatCode="0.0000%"/>
    </dxf>
    <dxf>
      <numFmt numFmtId="285" formatCode="0.00000%"/>
    </dxf>
    <dxf>
      <numFmt numFmtId="286" formatCode="0.000000%"/>
    </dxf>
    <dxf>
      <numFmt numFmtId="287" formatCode="0.0000000%"/>
    </dxf>
    <dxf>
      <numFmt numFmtId="288" formatCode="0.00000000%"/>
    </dxf>
    <dxf>
      <numFmt numFmtId="289" formatCode="0.00_);[Red]\(0.00\)"/>
    </dxf>
    <dxf>
      <numFmt numFmtId="290" formatCode="0.000_);[Red]\(0.000\)"/>
    </dxf>
    <dxf>
      <numFmt numFmtId="291" formatCode="0.0000_);[Red]\(0.0000\)"/>
    </dxf>
    <dxf>
      <numFmt numFmtId="292" formatCode="0.00000_);[Red]\(0.00000\)"/>
    </dxf>
    <dxf>
      <numFmt numFmtId="293" formatCode="0.000000_);[Red]\(0.000000\)"/>
    </dxf>
    <dxf>
      <numFmt numFmtId="294" formatCode="0.0000000_);[Red]\(0.0000000\)"/>
    </dxf>
    <dxf>
      <numFmt numFmtId="295" formatCode="0.00000000_);[Red]\(0.00000000\)"/>
    </dxf>
    <dxf>
      <numFmt numFmtId="296" formatCode="0.000000000_);[Red]\(0.000000000\)"/>
    </dxf>
    <dxf>
      <numFmt numFmtId="10" formatCode="0.00%"/>
    </dxf>
    <dxf>
      <numFmt numFmtId="297" formatCode="0.00_);[Red]\(0.00\)"/>
    </dxf>
    <dxf>
      <numFmt numFmtId="10" formatCode="0.00%"/>
    </dxf>
    <dxf>
      <numFmt numFmtId="180" formatCode="0.0%"/>
    </dxf>
    <dxf>
      <numFmt numFmtId="9" formatCode="0%"/>
    </dxf>
    <dxf>
      <numFmt numFmtId="180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microsoft.com/office/2007/relationships/slicerCache" Target="slicerCaches/slicerCache5.xml"/><Relationship Id="rId23" Type="http://schemas.microsoft.com/office/2007/relationships/slicerCache" Target="slicerCaches/slicerCache4.xml"/><Relationship Id="rId22" Type="http://schemas.microsoft.com/office/2007/relationships/slicerCache" Target="slicerCaches/slicerCache3.xml"/><Relationship Id="rId21" Type="http://schemas.microsoft.com/office/2007/relationships/slicerCache" Target="slicerCaches/slicerCache2.xml"/><Relationship Id="rId20" Type="http://schemas.microsoft.com/office/2007/relationships/slicerCache" Target="slicerCaches/slicerCach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203200</xdr:colOff>
      <xdr:row>1</xdr:row>
      <xdr:rowOff>107950</xdr:rowOff>
    </xdr:from>
    <xdr:to>
      <xdr:col>15</xdr:col>
      <xdr:colOff>247015</xdr:colOff>
      <xdr:row>5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Agent Handl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 Handl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9550" y="374650"/>
              <a:ext cx="3815715" cy="67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158750</xdr:colOff>
      <xdr:row>1</xdr:row>
      <xdr:rowOff>140335</xdr:rowOff>
    </xdr:from>
    <xdr:to>
      <xdr:col>9</xdr:col>
      <xdr:colOff>50800</xdr:colOff>
      <xdr:row>5</xdr:row>
      <xdr:rowOff>96520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rd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64150" y="407035"/>
              <a:ext cx="2413000" cy="692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393700</xdr:colOff>
      <xdr:row>6</xdr:row>
      <xdr:rowOff>57150</xdr:rowOff>
    </xdr:from>
    <xdr:to>
      <xdr:col>13</xdr:col>
      <xdr:colOff>456565</xdr:colOff>
      <xdr:row>10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ating Give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Giv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0" y="1244600"/>
              <a:ext cx="3834765" cy="78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368300</xdr:colOff>
      <xdr:row>8</xdr:row>
      <xdr:rowOff>171450</xdr:rowOff>
    </xdr:from>
    <xdr:to>
      <xdr:col>16</xdr:col>
      <xdr:colOff>540385</xdr:colOff>
      <xdr:row>29</xdr:row>
      <xdr:rowOff>80010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3850" y="1746250"/>
              <a:ext cx="2724785" cy="4042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403225</xdr:colOff>
      <xdr:row>4</xdr:row>
      <xdr:rowOff>57150</xdr:rowOff>
    </xdr:from>
    <xdr:to>
      <xdr:col>16</xdr:col>
      <xdr:colOff>536575</xdr:colOff>
      <xdr:row>7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58775" y="844550"/>
              <a:ext cx="2686050" cy="692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309.7063310185" refreshedBy="jhaji" recordCount="794">
  <cacheSource type="worksheet">
    <worksheetSource ref="A1:R795" sheet="Business Data"/>
  </cacheSource>
  <cacheFields count="20">
    <cacheField name="Customer ID" numFmtId="0">
      <sharedItems count="794">
        <s v="PBOR00001"/>
        <s v="PBOR00002"/>
        <s v="PBOR00003"/>
        <s v="PBOR00004"/>
        <s v="PBOR00005"/>
        <s v="PBOR00006"/>
        <s v="PBOR00007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35"/>
        <s v="PBOR00029"/>
        <s v="PBOR00030"/>
        <s v="PBOR00031"/>
        <s v="PBOR00032"/>
        <s v="PBOR00033"/>
        <s v="PBOR00036"/>
        <s v="PBOR00037"/>
        <s v="PBOR00038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  <s v="PBOR00795"/>
        <s v="PBOR00796"/>
        <s v="PBOR00797"/>
        <s v="PBOR00798"/>
      </sharedItems>
    </cacheField>
    <cacheField name="Order ID" numFmtId="0">
      <sharedItems count="794">
        <s v="PBOR00001"/>
        <s v="PBOR00002"/>
        <s v="PBOR00003"/>
        <s v="PBOR00004"/>
        <s v="PBOR00005"/>
        <s v="PBOR00006"/>
        <s v="PBOR00007"/>
        <s v="PBOR00008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28"/>
        <s v="PBOR00029"/>
        <s v="PBOR00030"/>
        <s v="PBOR00031"/>
        <s v="PBOR00032"/>
        <s v="PBOR00033"/>
        <s v="PBOR00034"/>
        <s v="PBOR00035"/>
        <s v="PBOR00036"/>
        <s v="PBOR00037"/>
        <s v="PBOR00038"/>
        <s v="PBOR00039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</sharedItems>
    </cacheField>
    <cacheField name="Customer Name" numFmtId="0">
      <sharedItems containsBlank="1" count="41">
        <s v="Sam Walton"/>
        <s v="Simma Raj"/>
        <s v="Aditya Singh"/>
        <s v="Julian Richard Samson"/>
        <s v="Savitri Kala"/>
        <s v="Pratyush Trivedi"/>
        <m/>
        <s v="Adhya Garg"/>
        <s v="Pranav Bhatnagar"/>
        <s v="Apurva Suri"/>
        <s v="Lata Chokshi"/>
        <s v="Roshan Bath"/>
        <s v="Dinesh Sharma"/>
        <s v="Nitya Sandhu"/>
        <s v="Shanta Swamy"/>
        <s v="Viaan Kale"/>
        <s v="Disha Tank"/>
        <s v="Aaloak Naidu"/>
        <s v="Nirmal Bahl"/>
        <s v="Saral Narang"/>
        <s v="Priya Aurora"/>
        <s v="Sharma Kar"/>
        <s v="Lakshmi Boase"/>
        <s v="Jagan Choudhury"/>
        <s v="Anit Sachdev"/>
        <s v="Ritu Manne"/>
        <s v="Aditya Ganesh"/>
        <s v="Rajni Sood"/>
        <s v="Lavanya Agate"/>
        <s v="Dhruv Sengupta"/>
        <s v="Akshay Oak"/>
        <s v="Malini Murty"/>
        <s v="Akshay Bal"/>
        <s v="Kavika Lall"/>
        <s v="Avinash Kale"/>
        <s v="Valini Grover"/>
        <s v="Anjali Dora"/>
        <s v="Sam"/>
        <s v="Kalpana Bali"/>
        <s v="Aalia Desai"/>
        <s v="Kirtida Raval"/>
      </sharedItems>
    </cacheField>
    <cacheField name="Contact Date" numFmtId="0">
      <sharedItems containsSemiMixedTypes="0" containsString="0" containsNonDate="0" containsDate="1" minDate="2023-11-01T00:00:00" maxDate="2023-12-23T00:00:00" count="31">
        <d v="2023-11-08T00:00:00"/>
        <d v="2023-11-19T00:00:00"/>
        <d v="2023-11-30T00:00:00"/>
        <d v="2023-11-11T00:00:00"/>
        <d v="2023-11-15T00:00:00"/>
        <d v="2023-11-27T00:00:00"/>
        <d v="2023-11-07T00:00:00"/>
        <d v="2023-11-01T00:00:00"/>
        <d v="2023-11-17T00:00:00"/>
        <d v="2023-11-26T00:00:00"/>
        <d v="2023-11-02T00:00:00"/>
        <d v="2023-11-28T00:00:00"/>
        <d v="2023-11-23T00:00:00"/>
        <d v="2023-11-14T00:00:00"/>
        <d v="2023-11-05T00:00:00"/>
        <d v="2023-11-10T00:00:00"/>
        <d v="2023-11-24T00:00:00"/>
        <d v="2023-11-21T00:00:00"/>
        <d v="2023-11-29T00:00:00"/>
        <d v="2023-11-22T00:00:00"/>
        <d v="2023-11-18T00:00:00"/>
        <d v="2023-11-06T00:00:00"/>
        <d v="2023-11-04T00:00:00"/>
        <d v="2023-11-03T00:00:00"/>
        <d v="2023-11-09T00:00:00"/>
        <d v="2023-11-13T00:00:00"/>
        <d v="2023-11-16T00:00:00"/>
        <d v="2023-11-12T00:00:00"/>
        <d v="2023-11-20T00:00:00"/>
        <d v="2023-11-25T00:00:00"/>
        <d v="2023-12-23T00:00:00" u="1"/>
      </sharedItems>
      <fieldGroup base="3">
        <rangePr autoEnd="0" groupBy="days" startDate="2023-11-01T00:00:00" endDate="2023-12-30T00:00:00" groupInterval="7"/>
        <groupItems count="11">
          <s v="&lt;01-11-2023"/>
          <s v="01-11-2023-07-11-2023"/>
          <s v="08-11-2023-14-11-2023"/>
          <s v="15-11-2023-21-11-2023"/>
          <s v="22-11-2023-28-11-2023"/>
          <s v="29-11-2023-05-12-2023"/>
          <s v="06-12-2023-12-12-2023"/>
          <s v="13-12-2023-19-12-2023"/>
          <s v="20-12-2023-26-12-2023"/>
          <s v="27-12-2023-30-12-2023"/>
          <s v="&gt;30-12-2023"/>
        </groupItems>
      </fieldGroup>
    </cacheField>
    <cacheField name="Contact Type" numFmtId="0">
      <sharedItems count="3">
        <s v="Query"/>
        <s v="Request"/>
        <s v="Complaint"/>
      </sharedItems>
    </cacheField>
    <cacheField name="Is It for an Order ?" numFmtId="0">
      <sharedItems count="2">
        <s v="Yes"/>
        <s v="No"/>
      </sharedItems>
    </cacheField>
    <cacheField name="Ticket ID" numFmtId="0">
      <sharedItems count="794">
        <s v="PBCS0001"/>
        <s v="PBCS0002"/>
        <s v="PBCS0003"/>
        <s v="PBCS0004"/>
        <s v="PBCS0005"/>
        <s v="PBCS0006"/>
        <s v="PBCS0007"/>
        <s v="PBCS0008"/>
        <s v="PBCS0009"/>
        <s v="PBCS0010"/>
        <s v="PBCS0011"/>
        <s v="PBCS0012"/>
        <s v="PBCS0013"/>
        <s v="PBCS0014"/>
        <s v="PBCS0015"/>
        <s v="PBCS0016"/>
        <s v="PBCS0017"/>
        <s v="PBCS0018"/>
        <s v="PBCS0019"/>
        <s v="PBCS0020"/>
        <s v="PBCS0021"/>
        <s v="PBCS0022"/>
        <s v="PBCS0023"/>
        <s v="PBCS0024"/>
        <s v="PBCS0025"/>
        <s v="PBCS0026"/>
        <s v="PBCS0027"/>
        <s v="PBCS0028"/>
        <s v="PBCS0029"/>
        <s v="PBCS0030"/>
        <s v="PBCS0031"/>
        <s v="PBCS0032"/>
        <s v="PBCS0033"/>
        <s v="PBCS0034"/>
        <s v="PBCS0035"/>
        <s v="PBCS0036"/>
        <s v="PBCS0037"/>
        <s v="PBCS0038"/>
        <s v="PBCS0039"/>
        <s v="PBCS0040"/>
        <s v="PBCS0041"/>
        <s v="PBCS0042"/>
        <s v="PBCS0043"/>
        <s v="PBCS0044"/>
        <s v="PBCS0045"/>
        <s v="PBCS0046"/>
        <s v="PBCS0047"/>
        <s v="PBCS0048"/>
        <s v="PBCS0049"/>
        <s v="PBCS0050"/>
        <s v="PBCS0051"/>
        <s v="PBCS0052"/>
        <s v="PBCS0053"/>
        <s v="PBCS0054"/>
        <s v="PBCS0055"/>
        <s v="PBCS0056"/>
        <s v="PBCS0057"/>
        <s v="PBCS0058"/>
        <s v="PBCS0059"/>
        <s v="PBCS0060"/>
        <s v="PBCS0061"/>
        <s v="PBCS0062"/>
        <s v="PBCS0063"/>
        <s v="PBCS0064"/>
        <s v="PBCS0065"/>
        <s v="PBCS0066"/>
        <s v="PBCS0067"/>
        <s v="PBCS0068"/>
        <s v="PBCS0069"/>
        <s v="PBCS0070"/>
        <s v="PBCS0071"/>
        <s v="PBCS0072"/>
        <s v="PBCS0073"/>
        <s v="PBCS0074"/>
        <s v="PBCS0075"/>
        <s v="PBCS0076"/>
        <s v="PBCS0077"/>
        <s v="PBCS0078"/>
        <s v="PBCS0079"/>
        <s v="PBCS0080"/>
        <s v="PBCS0081"/>
        <s v="PBCS0082"/>
        <s v="PBCS0083"/>
        <s v="PBCS0084"/>
        <s v="PBCS0085"/>
        <s v="PBCS0086"/>
        <s v="PBCS0087"/>
        <s v="PBCS0088"/>
        <s v="PBCS0089"/>
        <s v="PBCS0090"/>
        <s v="PBCS0091"/>
        <s v="PBCS0092"/>
        <s v="PBCS0093"/>
        <s v="PBCS0094"/>
        <s v="PBCS0095"/>
        <s v="PBCS0096"/>
        <s v="PBCS0097"/>
        <s v="PBCS0098"/>
        <s v="PBCS0099"/>
        <s v="PBCS0100"/>
        <s v="PBCS0101"/>
        <s v="PBCS0102"/>
        <s v="PBCS0103"/>
        <s v="PBCS0104"/>
        <s v="PBCS0105"/>
        <s v="PBCS0106"/>
        <s v="PBCS0107"/>
        <s v="PBCS0108"/>
        <s v="PBCS0109"/>
        <s v="PBCS0110"/>
        <s v="PBCS0111"/>
        <s v="PBCS0112"/>
        <s v="PBCS0113"/>
        <s v="PBCS0114"/>
        <s v="PBCS0115"/>
        <s v="PBCS0116"/>
        <s v="PBCS0117"/>
        <s v="PBCS0118"/>
        <s v="PBCS0119"/>
        <s v="PBCS0120"/>
        <s v="PBCS0121"/>
        <s v="PBCS0122"/>
        <s v="PBCS0123"/>
        <s v="PBCS0124"/>
        <s v="PBCS0125"/>
        <s v="PBCS0126"/>
        <s v="PBCS0127"/>
        <s v="PBCS0128"/>
        <s v="PBCS0129"/>
        <s v="PBCS0130"/>
        <s v="PBCS0131"/>
        <s v="PBCS0132"/>
        <s v="PBCS0133"/>
        <s v="PBCS0134"/>
        <s v="PBCS0135"/>
        <s v="PBCS0136"/>
        <s v="PBCS0137"/>
        <s v="PBCS0138"/>
        <s v="PBCS0139"/>
        <s v="PBCS0140"/>
        <s v="PBCS0141"/>
        <s v="PBCS0142"/>
        <s v="PBCS0143"/>
        <s v="PBCS0144"/>
        <s v="PBCS0145"/>
        <s v="PBCS0146"/>
        <s v="PBCS0147"/>
        <s v="PBCS0148"/>
        <s v="PBCS0149"/>
        <s v="PBCS0150"/>
        <s v="PBCS0151"/>
        <s v="PBCS0152"/>
        <s v="PBCS0153"/>
        <s v="PBCS0154"/>
        <s v="PBCS0155"/>
        <s v="PBCS0156"/>
        <s v="PBCS0157"/>
        <s v="PBCS0158"/>
        <s v="PBCS0159"/>
        <s v="PBCS0160"/>
        <s v="PBCS0161"/>
        <s v="PBCS0162"/>
        <s v="PBCS0163"/>
        <s v="PBCS0164"/>
        <s v="PBCS0165"/>
        <s v="PBCS0166"/>
        <s v="PBCS0167"/>
        <s v="PBCS0168"/>
        <s v="PBCS0169"/>
        <s v="PBCS0170"/>
        <s v="PBCS0171"/>
        <s v="PBCS0172"/>
        <s v="PBCS0173"/>
        <s v="PBCS0174"/>
        <s v="PBCS0175"/>
        <s v="PBCS0176"/>
        <s v="PBCS0177"/>
        <s v="PBCS0178"/>
        <s v="PBCS0179"/>
        <s v="PBCS0180"/>
        <s v="PBCS0181"/>
        <s v="PBCS0182"/>
        <s v="PBCS0183"/>
        <s v="PBCS0184"/>
        <s v="PBCS0185"/>
        <s v="PBCS0186"/>
        <s v="PBCS0187"/>
        <s v="PBCS0188"/>
        <s v="PBCS0189"/>
        <s v="PBCS0190"/>
        <s v="PBCS0191"/>
        <s v="PBCS0192"/>
        <s v="PBCS0193"/>
        <s v="PBCS0194"/>
        <s v="PBCS0195"/>
        <s v="PBCS0196"/>
        <s v="PBCS0197"/>
        <s v="PBCS0198"/>
        <s v="PBCS0199"/>
        <s v="PBCS0200"/>
        <s v="PBCS0201"/>
        <s v="PBCS0202"/>
        <s v="PBCS0203"/>
        <s v="PBCS0204"/>
        <s v="PBCS0205"/>
        <s v="PBCS0206"/>
        <s v="PBCS0207"/>
        <s v="PBCS0208"/>
        <s v="PBCS0209"/>
        <s v="PBCS0210"/>
        <s v="PBCS0211"/>
        <s v="PBCS0212"/>
        <s v="PBCS0213"/>
        <s v="PBCS0214"/>
        <s v="PBCS0215"/>
        <s v="PBCS0216"/>
        <s v="PBCS0217"/>
        <s v="PBCS0218"/>
        <s v="PBCS0219"/>
        <s v="PBCS0220"/>
        <s v="PBCS0221"/>
        <s v="PBCS0222"/>
        <s v="PBCS0223"/>
        <s v="PBCS0224"/>
        <s v="PBCS0225"/>
        <s v="PBCS0226"/>
        <s v="PBCS0227"/>
        <s v="PBCS0228"/>
        <s v="PBCS0229"/>
        <s v="PBCS0230"/>
        <s v="PBCS0231"/>
        <s v="PBCS0232"/>
        <s v="PBCS0233"/>
        <s v="PBCS0234"/>
        <s v="PBCS0235"/>
        <s v="PBCS0236"/>
        <s v="PBCS0237"/>
        <s v="PBCS0238"/>
        <s v="PBCS0239"/>
        <s v="PBCS0240"/>
        <s v="PBCS0241"/>
        <s v="PBCS0242"/>
        <s v="PBCS0243"/>
        <s v="PBCS0244"/>
        <s v="PBCS0245"/>
        <s v="PBCS0246"/>
        <s v="PBCS0247"/>
        <s v="PBCS0248"/>
        <s v="PBCS0249"/>
        <s v="PBCS0250"/>
        <s v="PBCS0251"/>
        <s v="PBCS0252"/>
        <s v="PBCS0253"/>
        <s v="PBCS0254"/>
        <s v="PBCS0255"/>
        <s v="PBCS0256"/>
        <s v="PBCS0257"/>
        <s v="PBCS0258"/>
        <s v="PBCS0259"/>
        <s v="PBCS0260"/>
        <s v="PBCS0261"/>
        <s v="PBCS0262"/>
        <s v="PBCS0263"/>
        <s v="PBCS0264"/>
        <s v="PBCS0265"/>
        <s v="PBCS0266"/>
        <s v="PBCS0267"/>
        <s v="PBCS0268"/>
        <s v="PBCS0269"/>
        <s v="PBCS0270"/>
        <s v="PBCS0271"/>
        <s v="PBCS0272"/>
        <s v="PBCS0273"/>
        <s v="PBCS0274"/>
        <s v="PBCS0275"/>
        <s v="PBCS0276"/>
        <s v="PBCS0277"/>
        <s v="PBCS0278"/>
        <s v="PBCS0279"/>
        <s v="PBCS0280"/>
        <s v="PBCS0281"/>
        <s v="PBCS0282"/>
        <s v="PBCS0283"/>
        <s v="PBCS0284"/>
        <s v="PBCS0285"/>
        <s v="PBCS0286"/>
        <s v="PBCS0287"/>
        <s v="PBCS0288"/>
        <s v="PBCS0289"/>
        <s v="PBCS0290"/>
        <s v="PBCS0291"/>
        <s v="PBCS0292"/>
        <s v="PBCS0293"/>
        <s v="PBCS0294"/>
        <s v="PBCS0295"/>
        <s v="PBCS0296"/>
        <s v="PBCS0297"/>
        <s v="PBCS0298"/>
        <s v="PBCS0299"/>
        <s v="PBCS0300"/>
        <s v="PBCS0301"/>
        <s v="PBCS0302"/>
        <s v="PBCS0303"/>
        <s v="PBCS0304"/>
        <s v="PBCS0305"/>
        <s v="PBCS0306"/>
        <s v="PBCS0307"/>
        <s v="PBCS0308"/>
        <s v="PBCS0309"/>
        <s v="PBCS0310"/>
        <s v="PBCS0311"/>
        <s v="PBCS0312"/>
        <s v="PBCS0313"/>
        <s v="PBCS0314"/>
        <s v="PBCS0315"/>
        <s v="PBCS0316"/>
        <s v="PBCS0317"/>
        <s v="PBCS0318"/>
        <s v="PBCS0319"/>
        <s v="PBCS0320"/>
        <s v="PBCS0321"/>
        <s v="PBCS0322"/>
        <s v="PBCS0323"/>
        <s v="PBCS0324"/>
        <s v="PBCS0325"/>
        <s v="PBCS0326"/>
        <s v="PBCS0327"/>
        <s v="PBCS0328"/>
        <s v="PBCS0329"/>
        <s v="PBCS0330"/>
        <s v="PBCS0331"/>
        <s v="PBCS0332"/>
        <s v="PBCS0333"/>
        <s v="PBCS0334"/>
        <s v="PBCS0335"/>
        <s v="PBCS0336"/>
        <s v="PBCS0337"/>
        <s v="PBCS0338"/>
        <s v="PBCS0339"/>
        <s v="PBCS0340"/>
        <s v="PBCS0341"/>
        <s v="PBCS0342"/>
        <s v="PBCS0343"/>
        <s v="PBCS0344"/>
        <s v="PBCS0345"/>
        <s v="PBCS0346"/>
        <s v="PBCS0347"/>
        <s v="PBCS0348"/>
        <s v="PBCS0349"/>
        <s v="PBCS0350"/>
        <s v="PBCS0351"/>
        <s v="PBCS0352"/>
        <s v="PBCS0353"/>
        <s v="PBCS0354"/>
        <s v="PBCS0355"/>
        <s v="PBCS0356"/>
        <s v="PBCS0357"/>
        <s v="PBCS0358"/>
        <s v="PBCS0359"/>
        <s v="PBCS0360"/>
        <s v="PBCS0361"/>
        <s v="PBCS0362"/>
        <s v="PBCS0363"/>
        <s v="PBCS0364"/>
        <s v="PBCS0365"/>
        <s v="PBCS0366"/>
        <s v="PBCS0367"/>
        <s v="PBCS0368"/>
        <s v="PBCS0369"/>
        <s v="PBCS0370"/>
        <s v="PBCS0371"/>
        <s v="PBCS0372"/>
        <s v="PBCS0373"/>
        <s v="PBCS0374"/>
        <s v="PBCS0375"/>
        <s v="PBCS0376"/>
        <s v="PBCS0377"/>
        <s v="PBCS0378"/>
        <s v="PBCS0379"/>
        <s v="PBCS0380"/>
        <s v="PBCS0381"/>
        <s v="PBCS0382"/>
        <s v="PBCS0383"/>
        <s v="PBCS0384"/>
        <s v="PBCS0385"/>
        <s v="PBCS0386"/>
        <s v="PBCS0387"/>
        <s v="PBCS0388"/>
        <s v="PBCS0389"/>
        <s v="PBCS0390"/>
        <s v="PBCS0391"/>
        <s v="PBCS0392"/>
        <s v="PBCS0393"/>
        <s v="PBCS0394"/>
        <s v="PBCS0395"/>
        <s v="PBCS0396"/>
        <s v="PBCS0397"/>
        <s v="PBCS0398"/>
        <s v="PBCS0399"/>
        <s v="PBCS0400"/>
        <s v="PBCS0401"/>
        <s v="PBCS0402"/>
        <s v="PBCS0403"/>
        <s v="PBCS0404"/>
        <s v="PBCS0405"/>
        <s v="PBCS0406"/>
        <s v="PBCS0407"/>
        <s v="PBCS0408"/>
        <s v="PBCS0409"/>
        <s v="PBCS0410"/>
        <s v="PBCS0411"/>
        <s v="PBCS0412"/>
        <s v="PBCS0413"/>
        <s v="PBCS0414"/>
        <s v="PBCS0415"/>
        <s v="PBCS0416"/>
        <s v="PBCS0417"/>
        <s v="PBCS0418"/>
        <s v="PBCS0419"/>
        <s v="PBCS0420"/>
        <s v="PBCS0421"/>
        <s v="PBCS0422"/>
        <s v="PBCS0423"/>
        <s v="PBCS0424"/>
        <s v="PBCS0425"/>
        <s v="PBCS0426"/>
        <s v="PBCS0427"/>
        <s v="PBCS0428"/>
        <s v="PBCS0429"/>
        <s v="PBCS0430"/>
        <s v="PBCS0431"/>
        <s v="PBCS0432"/>
        <s v="PBCS0433"/>
        <s v="PBCS0434"/>
        <s v="PBCS0435"/>
        <s v="PBCS0436"/>
        <s v="PBCS0437"/>
        <s v="PBCS0438"/>
        <s v="PBCS0439"/>
        <s v="PBCS0440"/>
        <s v="PBCS0441"/>
        <s v="PBCS0442"/>
        <s v="PBCS0443"/>
        <s v="PBCS0444"/>
        <s v="PBCS0445"/>
        <s v="PBCS0446"/>
        <s v="PBCS0447"/>
        <s v="PBCS0448"/>
        <s v="PBCS0449"/>
        <s v="PBCS0450"/>
        <s v="PBCS0451"/>
        <s v="PBCS0452"/>
        <s v="PBCS0453"/>
        <s v="PBCS0454"/>
        <s v="PBCS0455"/>
        <s v="PBCS0456"/>
        <s v="PBCS0457"/>
        <s v="PBCS0458"/>
        <s v="PBCS0459"/>
        <s v="PBCS0460"/>
        <s v="PBCS0461"/>
        <s v="PBCS0462"/>
        <s v="PBCS0463"/>
        <s v="PBCS0464"/>
        <s v="PBCS0465"/>
        <s v="PBCS0466"/>
        <s v="PBCS0467"/>
        <s v="PBCS0468"/>
        <s v="PBCS0469"/>
        <s v="PBCS0470"/>
        <s v="PBCS0471"/>
        <s v="PBCS0472"/>
        <s v="PBCS0473"/>
        <s v="PBCS0474"/>
        <s v="PBCS0475"/>
        <s v="PBCS0476"/>
        <s v="PBCS0477"/>
        <s v="PBCS0478"/>
        <s v="PBCS0479"/>
        <s v="PBCS0480"/>
        <s v="PBCS0481"/>
        <s v="PBCS0482"/>
        <s v="PBCS0483"/>
        <s v="PBCS0484"/>
        <s v="PBCS0485"/>
        <s v="PBCS0486"/>
        <s v="PBCS0487"/>
        <s v="PBCS0488"/>
        <s v="PBCS0489"/>
        <s v="PBCS0490"/>
        <s v="PBCS0491"/>
        <s v="PBCS0492"/>
        <s v="PBCS0493"/>
        <s v="PBCS0494"/>
        <s v="PBCS0495"/>
        <s v="PBCS0496"/>
        <s v="PBCS0497"/>
        <s v="PBCS0498"/>
        <s v="PBCS0499"/>
        <s v="PBCS0500"/>
        <s v="PBCS0501"/>
        <s v="PBCS0502"/>
        <s v="PBCS0503"/>
        <s v="PBCS0504"/>
        <s v="PBCS0505"/>
        <s v="PBCS0506"/>
        <s v="PBCS0507"/>
        <s v="PBCS0508"/>
        <s v="PBCS0509"/>
        <s v="PBCS0510"/>
        <s v="PBCS0511"/>
        <s v="PBCS0512"/>
        <s v="PBCS0513"/>
        <s v="PBCS0514"/>
        <s v="PBCS0515"/>
        <s v="PBCS0516"/>
        <s v="PBCS0517"/>
        <s v="PBCS0518"/>
        <s v="PBCS0519"/>
        <s v="PBCS0520"/>
        <s v="PBCS0521"/>
        <s v="PBCS0522"/>
        <s v="PBCS0523"/>
        <s v="PBCS0524"/>
        <s v="PBCS0525"/>
        <s v="PBCS0526"/>
        <s v="PBCS0527"/>
        <s v="PBCS0528"/>
        <s v="PBCS0529"/>
        <s v="PBCS0530"/>
        <s v="PBCS0531"/>
        <s v="PBCS0532"/>
        <s v="PBCS0533"/>
        <s v="PBCS0534"/>
        <s v="PBCS0535"/>
        <s v="PBCS0536"/>
        <s v="PBCS0537"/>
        <s v="PBCS0538"/>
        <s v="PBCS0539"/>
        <s v="PBCS0540"/>
        <s v="PBCS0541"/>
        <s v="PBCS0542"/>
        <s v="PBCS0543"/>
        <s v="PBCS0544"/>
        <s v="PBCS0545"/>
        <s v="PBCS0546"/>
        <s v="PBCS0547"/>
        <s v="PBCS0548"/>
        <s v="PBCS0549"/>
        <s v="PBCS0550"/>
        <s v="PBCS0551"/>
        <s v="PBCS0552"/>
        <s v="PBCS0553"/>
        <s v="PBCS0554"/>
        <s v="PBCS0555"/>
        <s v="PBCS0556"/>
        <s v="PBCS0557"/>
        <s v="PBCS0558"/>
        <s v="PBCS0559"/>
        <s v="PBCS0560"/>
        <s v="PBCS0561"/>
        <s v="PBCS0562"/>
        <s v="PBCS0563"/>
        <s v="PBCS0564"/>
        <s v="PBCS0565"/>
        <s v="PBCS0566"/>
        <s v="PBCS0567"/>
        <s v="PBCS0568"/>
        <s v="PBCS0569"/>
        <s v="PBCS0570"/>
        <s v="PBCS0571"/>
        <s v="PBCS0572"/>
        <s v="PBCS0573"/>
        <s v="PBCS0574"/>
        <s v="PBCS0575"/>
        <s v="PBCS0576"/>
        <s v="PBCS0577"/>
        <s v="PBCS0578"/>
        <s v="PBCS0579"/>
        <s v="PBCS0580"/>
        <s v="PBCS0581"/>
        <s v="PBCS0582"/>
        <s v="PBCS0583"/>
        <s v="PBCS0584"/>
        <s v="PBCS0585"/>
        <s v="PBCS0586"/>
        <s v="PBCS0587"/>
        <s v="PBCS0588"/>
        <s v="PBCS0589"/>
        <s v="PBCS0590"/>
        <s v="PBCS0591"/>
        <s v="PBCS0592"/>
        <s v="PBCS0593"/>
        <s v="PBCS0594"/>
        <s v="PBCS0595"/>
        <s v="PBCS0596"/>
        <s v="PBCS0597"/>
        <s v="PBCS0598"/>
        <s v="PBCS0599"/>
        <s v="PBCS0600"/>
        <s v="PBCS0601"/>
        <s v="PBCS0602"/>
        <s v="PBCS0603"/>
        <s v="PBCS0604"/>
        <s v="PBCS0605"/>
        <s v="PBCS0606"/>
        <s v="PBCS0607"/>
        <s v="PBCS0608"/>
        <s v="PBCS0609"/>
        <s v="PBCS0610"/>
        <s v="PBCS0611"/>
        <s v="PBCS0612"/>
        <s v="PBCS0613"/>
        <s v="PBCS0614"/>
        <s v="PBCS0615"/>
        <s v="PBCS0616"/>
        <s v="PBCS0617"/>
        <s v="PBCS0618"/>
        <s v="PBCS0619"/>
        <s v="PBCS0620"/>
        <s v="PBCS0621"/>
        <s v="PBCS0622"/>
        <s v="PBCS0623"/>
        <s v="PBCS0624"/>
        <s v="PBCS0625"/>
        <s v="PBCS0626"/>
        <s v="PBCS0627"/>
        <s v="PBCS0628"/>
        <s v="PBCS0629"/>
        <s v="PBCS0630"/>
        <s v="PBCS0631"/>
        <s v="PBCS0632"/>
        <s v="PBCS0633"/>
        <s v="PBCS0634"/>
        <s v="PBCS0635"/>
        <s v="PBCS0636"/>
        <s v="PBCS0637"/>
        <s v="PBCS0638"/>
        <s v="PBCS0639"/>
        <s v="PBCS0640"/>
        <s v="PBCS0641"/>
        <s v="PBCS0642"/>
        <s v="PBCS0643"/>
        <s v="PBCS0644"/>
        <s v="PBCS0645"/>
        <s v="PBCS0646"/>
        <s v="PBCS0647"/>
        <s v="PBCS0648"/>
        <s v="PBCS0649"/>
        <s v="PBCS0650"/>
        <s v="PBCS0651"/>
        <s v="PBCS0652"/>
        <s v="PBCS0653"/>
        <s v="PBCS0654"/>
        <s v="PBCS0655"/>
        <s v="PBCS0656"/>
        <s v="PBCS0657"/>
        <s v="PBCS0658"/>
        <s v="PBCS0659"/>
        <s v="PBCS0660"/>
        <s v="PBCS0661"/>
        <s v="PBCS0662"/>
        <s v="PBCS0663"/>
        <s v="PBCS0664"/>
        <s v="PBCS0665"/>
        <s v="PBCS0666"/>
        <s v="PBCS0667"/>
        <s v="PBCS0668"/>
        <s v="PBCS0669"/>
        <s v="PBCS0670"/>
        <s v="PBCS0671"/>
        <s v="PBCS0672"/>
        <s v="PBCS0673"/>
        <s v="PBCS0674"/>
        <s v="PBCS0675"/>
        <s v="PBCS0676"/>
        <s v="PBCS0677"/>
        <s v="PBCS0678"/>
        <s v="PBCS0679"/>
        <s v="PBCS0680"/>
        <s v="PBCS0681"/>
        <s v="PBCS0682"/>
        <s v="PBCS0683"/>
        <s v="PBCS0684"/>
        <s v="PBCS0685"/>
        <s v="PBCS0686"/>
        <s v="PBCS0687"/>
        <s v="PBCS0688"/>
        <s v="PBCS0689"/>
        <s v="PBCS0690"/>
        <s v="PBCS0691"/>
        <s v="PBCS0692"/>
        <s v="PBCS0693"/>
        <s v="PBCS0694"/>
        <s v="PBCS0695"/>
        <s v="PBCS0696"/>
        <s v="PBCS0697"/>
        <s v="PBCS0698"/>
        <s v="PBCS0699"/>
        <s v="PBCS0700"/>
        <s v="PBCS0701"/>
        <s v="PBCS0702"/>
        <s v="PBCS0703"/>
        <s v="PBCS0704"/>
        <s v="PBCS0705"/>
        <s v="PBCS0706"/>
        <s v="PBCS0707"/>
        <s v="PBCS0708"/>
        <s v="PBCS0709"/>
        <s v="PBCS0710"/>
        <s v="PBCS0711"/>
        <s v="PBCS0712"/>
        <s v="PBCS0713"/>
        <s v="PBCS0714"/>
        <s v="PBCS0715"/>
        <s v="PBCS0716"/>
        <s v="PBCS0717"/>
        <s v="PBCS0718"/>
        <s v="PBCS0719"/>
        <s v="PBCS0720"/>
        <s v="PBCS0721"/>
        <s v="PBCS0722"/>
        <s v="PBCS0723"/>
        <s v="PBCS0724"/>
        <s v="PBCS0725"/>
        <s v="PBCS0726"/>
        <s v="PBCS0727"/>
        <s v="PBCS0728"/>
        <s v="PBCS0729"/>
        <s v="PBCS0730"/>
        <s v="PBCS0731"/>
        <s v="PBCS0732"/>
        <s v="PBCS0733"/>
        <s v="PBCS0734"/>
        <s v="PBCS0735"/>
        <s v="PBCS0736"/>
        <s v="PBCS0737"/>
        <s v="PBCS0738"/>
        <s v="PBCS0739"/>
        <s v="PBCS0740"/>
        <s v="PBCS0741"/>
        <s v="PBCS0742"/>
        <s v="PBCS0743"/>
        <s v="PBCS0744"/>
        <s v="PBCS0745"/>
        <s v="PBCS0746"/>
        <s v="PBCS0747"/>
        <s v="PBCS0748"/>
        <s v="PBCS0749"/>
        <s v="PBCS0750"/>
        <s v="PBCS0751"/>
        <s v="PBCS0752"/>
        <s v="PBCS0753"/>
        <s v="PBCS0754"/>
        <s v="PBCS0755"/>
        <s v="PBCS0756"/>
        <s v="PBCS0757"/>
        <s v="PBCS0758"/>
        <s v="PBCS0759"/>
        <s v="PBCS0760"/>
        <s v="PBCS0761"/>
        <s v="PBCS0762"/>
        <s v="PBCS0763"/>
        <s v="PBCS0764"/>
        <s v="PBCS0765"/>
        <s v="PBCS0766"/>
        <s v="PBCS0767"/>
        <s v="PBCS0768"/>
        <s v="PBCS0769"/>
        <s v="PBCS0770"/>
        <s v="PBCS0771"/>
        <s v="PBCS0772"/>
        <s v="PBCS0773"/>
        <s v="PBCS0774"/>
        <s v="PBCS0775"/>
        <s v="PBCS0776"/>
        <s v="PBCS0777"/>
        <s v="PBCS0778"/>
        <s v="PBCS0779"/>
        <s v="PBCS0780"/>
        <s v="PBCS0781"/>
        <s v="PBCS0782"/>
        <s v="PBCS0783"/>
        <s v="PBCS0784"/>
        <s v="PBCS0785"/>
        <s v="PBCS0786"/>
        <s v="PBCS0787"/>
        <s v="PBCS0788"/>
        <s v="PBCS0789"/>
        <s v="PBCS0790"/>
        <s v="PBCS0791"/>
        <s v="PBCS0792"/>
        <s v="PBCS0793"/>
        <s v="PBCS0794"/>
      </sharedItems>
    </cacheField>
    <cacheField name="Agent Handled" numFmtId="0">
      <sharedItems count="3">
        <s v="Roch Cousineau"/>
        <s v="Adrien Martin"/>
        <s v="Albain Forestier"/>
      </sharedItems>
    </cacheField>
    <cacheField name="Rating Given" numFmtId="0">
      <sharedItems containsSemiMixedTypes="0" containsString="0" containsNumber="1" containsInteger="1" minValue="0" maxValue="10" count="10">
        <n v="9"/>
        <n v="7"/>
        <n v="8"/>
        <n v="6"/>
        <n v="2"/>
        <n v="4"/>
        <n v="1"/>
        <n v="3"/>
        <n v="10"/>
        <n v="5"/>
      </sharedItems>
      <fieldGroup par="18"/>
    </cacheField>
    <cacheField name="Location" numFmtId="0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Product Price" numFmtId="0">
      <sharedItems containsSemiMixedTypes="0" containsString="0" containsNumber="1" containsInteger="1" minValue="0" maxValue="250" count="6">
        <n v="72"/>
        <n v="65"/>
        <n v="250"/>
        <n v="130"/>
        <n v="60"/>
        <n v="95"/>
      </sharedItems>
    </cacheField>
    <cacheField name="No of Pizza per Order" numFmtId="0">
      <sharedItems containsSemiMixedTypes="0" containsString="0" containsNumber="1" containsInteger="1" minValue="0" maxValue="15" count="15">
        <n v="8"/>
        <n v="7"/>
        <n v="3"/>
        <n v="5"/>
        <n v="4"/>
        <n v="6"/>
        <n v="9"/>
        <n v="12"/>
        <n v="13"/>
        <n v="2"/>
        <n v="14"/>
        <n v="1"/>
        <n v="11"/>
        <n v="15"/>
        <n v="10"/>
      </sharedItems>
    </cacheField>
    <cacheField name="Order Type" numFmtId="0">
      <sharedItems count="2">
        <s v="Online"/>
        <s v="Physical Visit"/>
      </sharedItems>
    </cacheField>
    <cacheField name="Discount" numFmtId="9">
      <sharedItems containsSemiMixedTypes="0" containsString="0" containsNumber="1" minValue="0" maxValue="0.998176581284897" count="748">
        <n v="0.0137208012331359"/>
        <n v="0.0220838543149219"/>
        <n v="0.928423239563246"/>
        <n v="0.209903589102211"/>
        <n v="0.184343159134289"/>
        <n v="0.111444290733823"/>
        <n v="0.562869291868164"/>
        <n v="0.0313895605030742"/>
        <n v="0.237982784951062"/>
        <n v="0.19712344024474"/>
        <n v="0.0682957997384349"/>
        <n v="0.0168285229659042"/>
        <n v="0.266612840655535"/>
        <n v="0.212513471107016"/>
        <n v="0.109942576614138"/>
        <n v="0.536074989086071"/>
        <n v="0.037515550327758"/>
        <n v="0.0249382898866631"/>
        <n v="0.0101233919704142"/>
        <n v="0.130886936637914"/>
        <n v="0.0669619694929965"/>
        <n v="0.363507617946458"/>
        <n v="0.308414154919931"/>
        <n v="0.212873013219896"/>
        <n v="0.110477426017951"/>
        <n v="0.0487991561516312"/>
        <n v="0.278795061769214"/>
        <n v="0.076045534046593"/>
        <n v="0.120557627547403"/>
        <n v="0.302839463377806"/>
        <n v="0.414018298732583"/>
        <n v="0.00616036602712923"/>
        <n v="0.104959636722332"/>
        <n v="0.293772739064756"/>
        <n v="0.565598101019242"/>
        <n v="0.141803678257353"/>
        <n v="0.197275854071215"/>
        <n v="0.160267073739108"/>
        <n v="0.0367542348170177"/>
        <n v="0.120474270341696"/>
        <n v="0.38636401364593"/>
        <n v="0.251119309854959"/>
        <n v="0.180991690498891"/>
        <n v="0.173637863650005"/>
        <n v="0.754898141374743"/>
        <n v="0.418262262464108"/>
        <n v="0.521835125908508"/>
        <n v="0.44072649836079"/>
        <n v="0.301237691320284"/>
        <n v="0.420205578639057"/>
        <n v="0.381799662498992"/>
        <n v="0.00484359148368008"/>
        <n v="0.638575847143732"/>
        <n v="0.925447719315617"/>
        <n v="0.0490693531380294"/>
        <n v="0.78757795549188"/>
        <n v="0.446860387806741"/>
        <n v="0.89674363393446"/>
        <n v="0.0323733425586068"/>
        <n v="0.942472001521382"/>
        <n v="0.248636806790805"/>
        <n v="0.0498965210564023"/>
        <n v="0.496183401882766"/>
        <n v="0.628896215924117"/>
        <n v="0.875804906379297"/>
        <n v="0.370698541260933"/>
        <n v="0.644226020742862"/>
        <n v="0.766527075431938"/>
        <n v="0.744163298299545"/>
        <n v="0.484840322923332"/>
        <n v="0.10556900790049"/>
        <n v="0.356813273523988"/>
        <n v="0.389661552471671"/>
        <n v="0.273427998548095"/>
        <n v="0.68404340685026"/>
        <n v="0.305116714751597"/>
        <n v="0.266346831825114"/>
        <n v="0.95598379426073"/>
        <n v="0.78465682989489"/>
        <n v="0.925316508266058"/>
        <n v="0.913149826929915"/>
        <n v="0.0845860933070302"/>
        <n v="0.929832202828375"/>
        <n v="0.130299607526676"/>
        <n v="0.414567282662002"/>
        <n v="0.779538078226579"/>
        <n v="0.566024933799433"/>
        <n v="0.792277194708583"/>
        <n v="0.0968065964102802"/>
        <n v="0.107380587883658"/>
        <n v="0.682987200322847"/>
        <n v="0.088476327566972"/>
        <n v="0.12263076179641"/>
        <n v="0.213481238544389"/>
        <n v="0.517771108770838"/>
        <n v="0.247141236658786"/>
        <n v="0.741088901812436"/>
        <n v="0.758955047491833"/>
        <n v="0.395194524166475"/>
        <n v="0.0258578141589377"/>
        <n v="0.352241957555999"/>
        <n v="0.0429347377694649"/>
        <n v="0.0068824781708392"/>
        <n v="0.855340074725564"/>
        <n v="0.621076485332146"/>
        <n v="0.938192011575187"/>
        <n v="0.977315063472137"/>
        <n v="0.936187692030995"/>
        <n v="0.927470594519066"/>
        <n v="0.0983311046481503"/>
        <n v="0.00450124780471717"/>
        <n v="0.221691923662468"/>
        <n v="0.916247091178586"/>
        <n v="0.6136251631702"/>
        <n v="0.815726236656565"/>
        <n v="0.603947723087495"/>
        <n v="0.27166765426644"/>
        <n v="0.562932281624065"/>
        <n v="0.735791402195259"/>
        <n v="0.441129317811212"/>
        <n v="0.670267638767649"/>
        <n v="0.215018428148193"/>
        <n v="0.775283880307769"/>
        <n v="0.323343486904457"/>
        <n v="0.211727639197149"/>
        <n v="0.998176581284897"/>
        <n v="0.343216614856252"/>
        <n v="0.176883635536531"/>
        <n v="0.548537635275607"/>
        <n v="0.406127292298949"/>
        <n v="0.167803000896386"/>
        <n v="0.910867777909416"/>
        <n v="0.273198549453689"/>
        <n v="0.819846627861784"/>
        <n v="0.899809340035437"/>
        <n v="0.735223474526257"/>
        <n v="0.365792133389301"/>
        <n v="0.793136424400332"/>
        <n v="0.0804076649795646"/>
        <n v="0.385259360967818"/>
        <n v="0.455071770713259"/>
        <n v="0.938270313373121"/>
        <n v="0.14716035331195"/>
        <n v="0.101598670430136"/>
        <n v="0.500607883997095"/>
        <n v="0.705396430218346"/>
        <n v="0.724813790322394"/>
        <n v="0.218331219555445"/>
        <n v="0.332535244539529"/>
        <n v="0.39793552100289"/>
        <n v="0.835195330886413"/>
        <n v="0.00873122087991018"/>
        <n v="0.950716365569127"/>
        <n v="0.0651107708719392"/>
        <n v="0.437720245132658"/>
        <n v="0.418536638401695"/>
        <n v="0.388241658458128"/>
        <n v="0.754340606987339"/>
        <n v="0.615873817000205"/>
        <n v="0.800068887567625"/>
        <n v="0.682289496836152"/>
        <n v="0.0164795090068773"/>
        <n v="0.230781238931274"/>
        <n v="0.0222252721214847"/>
        <n v="0.722064396265168"/>
        <n v="0.660677446652647"/>
        <n v="0.140483963529861"/>
        <n v="0.378729812495668"/>
        <n v="0.715155896941275"/>
        <n v="0.214125193587993"/>
        <n v="0.164550915960732"/>
        <n v="0.256669074916685"/>
        <n v="0.901602317884266"/>
        <n v="0.320164833885899"/>
        <n v="0.134984504877316"/>
        <n v="0.9178959373828"/>
        <n v="0.980217263421222"/>
        <n v="0.067354248366483"/>
        <n v="0.499072721338834"/>
        <n v="0.614664684595898"/>
        <n v="0.946397988047686"/>
        <n v="0.951686638384176"/>
        <n v="0.559588680773942"/>
        <n v="0.810039366771655"/>
        <n v="0.354500723432542"/>
        <n v="0.348954696083328"/>
        <n v="0.522795784515332"/>
        <n v="0.696178879378529"/>
        <n v="0.556383540820817"/>
        <n v="0.078132692098414"/>
        <n v="0.377831126876786"/>
        <n v="0.342009443543033"/>
        <n v="0.927379764428659"/>
        <n v="0.969386671851488"/>
        <n v="0.244063078270044"/>
        <n v="0.931057824254786"/>
        <n v="0.67570229189542"/>
        <n v="0.911929825775482"/>
        <n v="0.463136115061751"/>
        <n v="0.0535302225625136"/>
        <n v="0.101354148565082"/>
        <n v="0.154131968202366"/>
        <n v="0.991472292726511"/>
        <n v="0.267925418382296"/>
        <n v="0.674002370075887"/>
        <n v="0.107790125674155"/>
        <n v="0.065825812137459"/>
        <n v="0.361673624805081"/>
        <n v="0.156112777107086"/>
        <n v="0.118929629479385"/>
        <n v="0.941784984823483"/>
        <n v="0.82224390590219"/>
        <n v="0.0154730358267962"/>
        <n v="0.570021894828855"/>
        <n v="0.221691234625235"/>
        <n v="0.163277126633513"/>
        <n v="0.714318492396904"/>
        <n v="0.581514910163867"/>
        <n v="0.940255000858455"/>
        <n v="0.856960077333762"/>
        <n v="0.737046706320377"/>
        <n v="0.995566745643514"/>
        <n v="0.82336237784946"/>
        <n v="0.214298570638055"/>
        <n v="0.985824636871124"/>
        <n v="0.0207878570041939"/>
        <n v="0.404304155110682"/>
        <n v="0.862289362163704"/>
        <n v="0.202672002623937"/>
        <n v="0.42721330596563"/>
        <n v="0.871081499708974"/>
        <n v="0.0263580097169567"/>
        <n v="0.777677857403506"/>
        <n v="0.686825651441075"/>
        <n v="0.582691099408791"/>
        <n v="0.443399082757208"/>
        <n v="0.125750368103208"/>
        <n v="0.584437631114261"/>
        <n v="0.202698384273822"/>
        <n v="0.345884739679903"/>
        <n v="0.44863071332489"/>
        <n v="0.411956622818606"/>
        <n v="0.786119782865679"/>
        <n v="0.820935261125152"/>
        <n v="0.565505584961436"/>
        <n v="0.480015994130276"/>
        <n v="0.807035443056815"/>
        <n v="0.13472953271651"/>
        <n v="0.537352445140222"/>
        <n v="0.864932537230203"/>
        <n v="0.146351932523674"/>
        <n v="0.499302165935024"/>
        <n v="0.167603692170588"/>
        <n v="0.570403916399243"/>
        <n v="0.352404728936826"/>
        <n v="0.112080921562423"/>
        <n v="0.578391346471001"/>
        <n v="0.187855673067526"/>
        <n v="0.692347869064799"/>
        <n v="0.731310547163767"/>
        <n v="0.396512949532452"/>
        <n v="0.470532939561851"/>
        <n v="0.902242484583642"/>
        <n v="0.250579688847384"/>
        <n v="0.568922669196791"/>
        <n v="0.0335710613741672"/>
        <n v="0.117970393249644"/>
        <n v="0.0281763859647487"/>
        <n v="0.669411367257589"/>
        <n v="0.364481724955418"/>
        <n v="0.154164883060798"/>
        <n v="0.666466096252429"/>
        <n v="0.691837520342533"/>
        <n v="0.146495995912347"/>
        <n v="0.98540635482364"/>
        <n v="0.320913207357887"/>
        <n v="0.944953941092757"/>
        <n v="0.509067480271997"/>
        <n v="0.660590532667063"/>
        <n v="0.896156014037031"/>
        <n v="0.133950017527805"/>
        <n v="0.382379729799847"/>
        <n v="0.150738256013421"/>
        <n v="0.963951282479031"/>
        <n v="0.938940837056845"/>
        <n v="0.903352705784895"/>
        <n v="0.622097773219959"/>
        <n v="0.0616767904433965"/>
        <n v="0.492135213174211"/>
        <n v="0.695527119859949"/>
        <n v="0.545289072783541"/>
        <n v="0.351995365382247"/>
        <n v="0.0602925336290991"/>
        <n v="0.0414344572817006"/>
        <n v="0.295162748845202"/>
        <n v="0.681542945401193"/>
        <n v="0.526323465202974"/>
        <n v="0.0544376879035369"/>
        <n v="0.953507388421749"/>
        <n v="0.467266513481762"/>
        <n v="0.601508981561199"/>
        <n v="0.171587647421878"/>
        <n v="0.447310508801029"/>
        <n v="0.542469530509582"/>
        <n v="0.504848049472984"/>
        <n v="0.0923167474212955"/>
        <n v="0.349075422727062"/>
        <n v="0.900318235807166"/>
        <n v="0.180506927954627"/>
        <n v="0.0254450928200013"/>
        <n v="0.796437411427055"/>
        <n v="0.160772133598278"/>
        <n v="0.246938369788698"/>
        <n v="0.221482079467388"/>
        <n v="0.714588462309595"/>
        <n v="0.112866944889315"/>
        <n v="0.0652835908288198"/>
        <n v="0.466817519983531"/>
        <n v="0.922027701542237"/>
        <n v="0.188404857537272"/>
        <n v="0.278470721372092"/>
        <n v="0.788842513764052"/>
        <n v="0.182991685488964"/>
        <n v="0.20591715888097"/>
        <n v="0.0212833983688794"/>
        <n v="0.0228068890195247"/>
        <n v="0.664482140304991"/>
        <n v="0.291519552492805"/>
        <n v="0.556840981103363"/>
        <n v="0.572405421440156"/>
        <n v="0.0862216431152117"/>
        <n v="0.956097186096616"/>
        <n v="0.245522376822209"/>
        <n v="0.566376326810807"/>
        <n v="0.0451798352199142"/>
        <n v="0.973455299243549"/>
        <n v="0.567333944191242"/>
        <n v="0.379284311497312"/>
        <n v="0.628659113305336"/>
        <n v="0.379379346103245"/>
        <n v="0.358915158669511"/>
        <n v="0.901223529160204"/>
        <n v="0.377865978777288"/>
        <n v="0.389134454533387"/>
        <n v="0.607146677243405"/>
        <n v="0.172611635137102"/>
        <n v="0.0344515664769515"/>
        <n v="0.366008215522148"/>
        <n v="0.368763047973245"/>
        <n v="0.784915258620603"/>
        <n v="0.894331545558429"/>
        <n v="0.544943106679383"/>
        <n v="0.844432094245137"/>
        <n v="0.110840778780581"/>
        <n v="0.266303129202918"/>
        <n v="0.132791617874201"/>
        <n v="0.207944780041291"/>
        <n v="0.76031378549826"/>
        <n v="0.238046412551698"/>
        <n v="0.125236893699367"/>
        <n v="0.0671017463583271"/>
        <n v="0.989706171239065"/>
        <n v="0.262026791851751"/>
        <n v="0.872631439539165"/>
        <n v="0.767781370622723"/>
        <n v="0.157500106311217"/>
        <n v="0.535701714654926"/>
        <n v="0.882174900759544"/>
        <n v="0.0748500814655743"/>
        <n v="0.46235152425303"/>
        <n v="0.344627007631771"/>
        <n v="0.699116241312602"/>
        <n v="0.0189094698670599"/>
        <n v="0.732454700880071"/>
        <n v="0.722974517445393"/>
        <n v="0.974177765053638"/>
        <n v="0.924412957076343"/>
        <n v="0.348412042913635"/>
        <n v="0.368627955024868"/>
        <n v="0.382796001155056"/>
        <n v="0.772781619237633"/>
        <n v="0.981945819477054"/>
        <n v="0.243726329687677"/>
        <n v="0.509774915715816"/>
        <n v="0.991237445154857"/>
        <n v="0.580010276424012"/>
        <n v="0.200998095208025"/>
        <n v="0.0875890820570904"/>
        <n v="0.922035177984396"/>
        <n v="0.406469512164156"/>
        <n v="0.455220484940313"/>
        <n v="0.455148287808982"/>
        <n v="0.301264868348264"/>
        <n v="0.228863120785874"/>
        <n v="0.488558790209001"/>
        <n v="0.883010127823949"/>
        <n v="0.307050243982862"/>
        <n v="0.857049395637535"/>
        <n v="0.291598024455163"/>
        <n v="0.258944568328516"/>
        <n v="0.295420994868114"/>
        <n v="0.074202009604403"/>
        <n v="0.0390670034013544"/>
        <n v="0.764685046603723"/>
        <n v="0.748674805392321"/>
        <n v="0.693009392027571"/>
        <n v="0.529373912221037"/>
        <n v="0.324135148599341"/>
        <n v="0.359077751493997"/>
        <n v="0.659085902588657"/>
        <n v="0.51385178684784"/>
        <n v="0.766650090720727"/>
        <n v="0.735292142030541"/>
        <n v="0.445679965185695"/>
        <n v="0.804917601319501"/>
        <n v="0.632527242337506"/>
        <n v="0.541724158410627"/>
        <n v="0.514496229996707"/>
        <n v="0.237525028475187"/>
        <n v="0.991206100813583"/>
        <n v="0.597058909818466"/>
        <n v="0.471377918340276"/>
        <n v="0.411817407807674"/>
        <n v="0.0720148923279852"/>
        <n v="0.284252285929809"/>
        <n v="0.514736362789603"/>
        <n v="0.843608536799598"/>
        <n v="0.794105952422082"/>
        <n v="0.437431030771508"/>
        <n v="0.624142858513478"/>
        <n v="0.88664559134768"/>
        <n v="0.183592732904316"/>
        <n v="0.159065065313217"/>
        <n v="0.294667470141062"/>
        <n v="0.354141186059301"/>
        <n v="0.404638315947507"/>
        <n v="0.56828189926737"/>
        <n v="0.684158399201113"/>
        <n v="0.479009167474185"/>
        <n v="0.890457227464887"/>
        <n v="0.509499718805001"/>
        <n v="0.78361211804502"/>
        <n v="0.0659692015479053"/>
        <n v="0.178580149104949"/>
        <n v="0.435878559528053"/>
        <n v="0.740403386444935"/>
        <n v="0.541095713457448"/>
        <n v="0.712711727013551"/>
        <n v="0.662484099964731"/>
        <n v="0.513006410409827"/>
        <n v="0.849511249377969"/>
        <n v="0.577865959092518"/>
        <n v="0.0190279766540243"/>
        <n v="0.53466593176581"/>
        <n v="0.198194793130343"/>
        <n v="0.195884442063148"/>
        <n v="0.802507113694434"/>
        <n v="0.324741685885889"/>
        <n v="0.124100625394677"/>
        <n v="0.662097043401205"/>
        <n v="0.223220406411476"/>
        <n v="0.695717496739559"/>
        <n v="0.883744394970826"/>
        <n v="0.504157164885233"/>
        <n v="0.598823873296058"/>
        <n v="0.737434497100921"/>
        <n v="0.253142781913156"/>
        <n v="0.562067380507533"/>
        <n v="0.435304978778394"/>
        <n v="0.683089457519516"/>
        <n v="0.723732689141244"/>
        <n v="0.220956458590398"/>
        <n v="0.0496706514257343"/>
        <n v="0.351689254974288"/>
        <n v="0.149831882607818"/>
        <n v="0.628296408962128"/>
        <n v="0.166292335210988"/>
        <n v="0.548215745615893"/>
        <n v="0.880986523440244"/>
        <n v="0.695580053866378"/>
        <n v="0.654988137338808"/>
        <n v="0.827159483119843"/>
        <n v="0.361331484017062"/>
        <n v="0.693257741040978"/>
        <n v="0.368292632305528"/>
        <n v="0.370689610970393"/>
        <n v="0.0394114232374354"/>
        <n v="0.751154280647401"/>
        <n v="0.565482795920239"/>
        <n v="0.582259463565"/>
        <n v="0.416767213808364"/>
        <n v="0.416006038514226"/>
        <n v="0.168161836011834"/>
        <n v="0.218107548503633"/>
        <n v="0.941689729831558"/>
        <n v="0.141094215411943"/>
        <n v="0.503634540768446"/>
        <n v="0.484553924956666"/>
        <n v="0.60579698005943"/>
        <n v="0.209813616825491"/>
        <n v="0.871964607791621"/>
        <n v="0.187966944779276"/>
        <n v="0.0138866735929684"/>
        <n v="0.30993167276931"/>
        <n v="0.47541347471184"/>
        <n v="0.359323511671223"/>
        <n v="0.785109249247455"/>
        <n v="0.953653237673593"/>
        <n v="0.353404015388882"/>
        <n v="0.0190751095506285"/>
        <n v="0.361385191072925"/>
        <n v="0.484577247874161"/>
        <n v="0.507239351457254"/>
        <n v="0.219880815300109"/>
        <n v="0.848880128299779"/>
        <n v="0.765168361384646"/>
        <n v="0.363836144534461"/>
        <n v="0.401484216742589"/>
        <n v="0.316744141066912"/>
        <n v="0.832602857979734"/>
        <n v="0.653737114287695"/>
        <n v="0.934167557009536"/>
        <n v="0.581099958983956"/>
        <n v="0.00125424983746991"/>
        <n v="0.0916681129196399"/>
        <n v="0.371020349770767"/>
        <n v="0.0898966583485303"/>
        <n v="0.936302412989941"/>
        <n v="0.660855023959685"/>
        <n v="0.791833214588663"/>
        <n v="0.558087326629107"/>
        <n v="0.133841284710668"/>
        <n v="0.641674437078962"/>
        <n v="0.0465443740881153"/>
        <n v="0.0899000126544871"/>
        <n v="0.792597105547886"/>
        <n v="0.690657319019509"/>
        <n v="0.133585064082303"/>
        <n v="0.867319569905227"/>
        <n v="0.364425327356957"/>
        <n v="0.808104511824901"/>
        <n v="0.756600336974457"/>
        <n v="0.394707427414367"/>
        <n v="0.995455121653486"/>
        <n v="0.267819649356736"/>
        <n v="0.513630195263288"/>
        <n v="0.927447250305454"/>
        <n v="0.757720066992363"/>
        <n v="0.433389095110295"/>
        <n v="0.642753001242467"/>
        <n v="0.638829080805018"/>
        <n v="0.921337853451594"/>
        <n v="0.106514747415861"/>
        <n v="0.798716275613811"/>
        <n v="0.587678281639977"/>
        <n v="0.229118192512627"/>
        <n v="0.977097417699347"/>
        <n v="0.150818476681223"/>
        <n v="0.528905909202019"/>
        <n v="0.380090519616261"/>
        <n v="0.362467627179515"/>
        <n v="0.555593195193127"/>
        <n v="0.121098106707498"/>
        <n v="0.296242007981559"/>
        <n v="0.234713152952551"/>
        <n v="0.437107248491506"/>
        <n v="0.283488624543939"/>
        <n v="0.531228913876825"/>
        <n v="0.0691322799501242"/>
        <n v="0.533929334302729"/>
        <n v="0.137898362596286"/>
        <n v="0.941805702680187"/>
        <n v="0.21171131193784"/>
        <n v="0.040503482016955"/>
        <n v="0.11218763501886"/>
        <n v="0.142191378577445"/>
        <n v="0.516019281207021"/>
        <n v="0.931601079330438"/>
        <n v="0.287237275308953"/>
        <n v="0.981410583659818"/>
        <n v="0.331567871816344"/>
        <n v="0.0583052551932339"/>
        <n v="0.582160112521267"/>
        <n v="0.220060191242082"/>
        <n v="0.565912455413136"/>
        <n v="0.632360274176731"/>
        <n v="0.0819348290495781"/>
        <n v="0.639086794555734"/>
        <n v="0.535938245158555"/>
        <n v="0.0495931575014912"/>
        <n v="0.281335846149382"/>
        <n v="0.215832624849826"/>
        <n v="0.808829172385277"/>
        <n v="0.34899920367834"/>
        <n v="0.381357497121149"/>
        <n v="0.0288566463053779"/>
        <n v="0.783727052740297"/>
        <n v="0.0452893152997982"/>
        <n v="0.297655001850133"/>
        <n v="0.981284893953754"/>
        <n v="0.437339822696118"/>
        <n v="0.174993476980174"/>
        <n v="0.45689464854008"/>
        <n v="0.224342359700646"/>
        <n v="0.585950951156316"/>
        <n v="0.0796937271655609"/>
        <n v="0.607459294048288"/>
        <n v="0.17970951682046"/>
        <n v="0.687715916105101"/>
        <n v="0.916853589964188"/>
        <n v="0.72858261081585"/>
        <n v="0.24143320466904"/>
        <n v="0.183902525927503"/>
        <n v="0.008686284684847"/>
        <n v="0.376448319224309"/>
        <n v="0.556841767977525"/>
        <n v="0.0387106936540091"/>
        <n v="0.178986139134631"/>
        <n v="0.950944026744047"/>
        <n v="0.337322767454622"/>
        <n v="0.192652806572323"/>
        <n v="0.0938284688716184"/>
        <n v="0.243282418477647"/>
        <n v="0.713678777527326"/>
        <n v="0.565894016375731"/>
        <n v="0.708328981962403"/>
        <n v="0.129241318642144"/>
        <n v="0.592784468099577"/>
        <n v="0.480932830405004"/>
        <n v="0.8933033791661"/>
        <n v="0.011237544658089"/>
        <n v="0.209254183425245"/>
        <n v="0.0779381623759741"/>
        <n v="0.352139453483012"/>
        <n v="0.792939692001438"/>
        <n v="0.896183648535641"/>
        <n v="0.398286966542125"/>
        <n v="0.570969651840091"/>
        <n v="0.619970703916974"/>
        <n v="0.746687290896591"/>
        <n v="0.829755097267037"/>
        <n v="0.664741815595239"/>
        <n v="0.215508544940609"/>
        <n v="0.617537780550463"/>
        <n v="0.959580010347968"/>
        <n v="0.856637286108049"/>
        <n v="0.121367230357097"/>
        <n v="0.484026521342995"/>
        <n v="0.385268544780832"/>
        <n v="0.910141918965922"/>
        <n v="0.162779330200249"/>
        <n v="0.559616271983077"/>
        <n v="0.0569864427942541"/>
        <n v="0.790350218061635"/>
        <n v="0.715614715686406"/>
        <n v="0.52549395702311"/>
        <n v="0.589509369871515"/>
        <n v="0.77863103888488"/>
        <n v="0.375710964291818"/>
        <n v="0.570563332010319"/>
        <n v="0.81370698964743"/>
        <n v="0.758241774987508"/>
        <n v="0.780337478542389"/>
        <n v="0.743702191336432"/>
        <n v="0.81553147972421"/>
        <n v="0.958219755746304"/>
        <n v="0.235616450525368"/>
        <n v="0.796846322820406"/>
        <n v="0.375851921739574"/>
        <n v="0.102889806109261"/>
        <n v="0.172261071851276"/>
        <n v="0.0251507790965926"/>
        <n v="0.3156638429507"/>
        <n v="0.735454809051603"/>
        <n v="0.841890183891807"/>
        <n v="0.953849477021224"/>
        <n v="0.554174333645441"/>
        <n v="0.762318678156583"/>
        <n v="0.503951661794012"/>
        <n v="0.0821397567332374"/>
        <n v="0.745803128516307"/>
        <n v="0.607678404218297"/>
        <n v="0.250392738355317"/>
        <n v="0.426435094192327"/>
        <n v="0.00231964863784162"/>
        <n v="0.248086917814554"/>
        <n v="0.809483632995557"/>
        <n v="0.244026540055357"/>
        <n v="0.139116184511738"/>
        <n v="0.0290026904415384"/>
        <n v="0.549572761943725"/>
        <n v="0.192216840414769"/>
        <n v="0.0989758803288734"/>
        <n v="0.0767043157469263"/>
        <n v="0.342998051988757"/>
        <n v="0.732886902884727"/>
        <n v="0.563692333203904"/>
        <n v="0.398169786806437"/>
        <n v="0.241631398587576"/>
        <n v="0.869945186691554"/>
        <n v="0.0474751420674717"/>
        <n v="0.105488971481001"/>
        <n v="0.560464556681686"/>
        <n v="0.835122201359408"/>
        <n v="0.896071050936814"/>
        <n v="0.743572336964776"/>
        <n v="0.334920108593423"/>
        <n v="0.261593813777494"/>
        <n v="0.692530427327861"/>
        <n v="0.983725259929382"/>
        <n v="0.527285693470249"/>
        <n v="0.540707388417911"/>
        <n v="0.837938289586584"/>
        <n v="0.333093738199942"/>
        <n v="0.552527899078816"/>
        <n v="0.0494621536663384"/>
        <n v="0.881464517035841"/>
        <n v="0.766060880058064"/>
        <n v="0.323466104332796"/>
        <n v="0.678183425222375"/>
        <n v="0.0966784618953194"/>
        <n v="0.670307880839105"/>
        <n v="0.943530579699383"/>
        <n v="0.593787303524347"/>
        <n v="0.496401479463296"/>
        <n v="0.36396050287324"/>
        <n v="0.223965461260464"/>
        <n v="0.785352304948158"/>
        <n v="0.505439847588074"/>
        <n v="0.225583622852742"/>
        <n v="0.964753279612961"/>
        <n v="0.266387527410555"/>
        <n v="0.718412521096396"/>
        <n v="0.652975878307349"/>
        <n v="0.303279275564135"/>
        <n v="0.43000778489156"/>
        <n v="0.709369827901969"/>
        <n v="0.280633343108724"/>
        <n v="0.190692303711026"/>
        <n v="0.427728698177056"/>
        <n v="0.965313592591448"/>
        <n v="0.219833094896686"/>
        <n v="0.874006351958629"/>
        <n v="0.345144388337871"/>
        <n v="0.406271544985408"/>
        <n v="0.784386184309162"/>
        <n v="0.455887914477434"/>
        <n v="0.270554923008498"/>
      </sharedItems>
    </cacheField>
    <cacheField name="Product Name" numFmtId="0">
      <sharedItems count="6">
        <s v="Paneer Tikka Pizzabun"/>
        <s v="Crispy Chole Pizzabun"/>
        <s v="Large Paneer Tikka Pizzabun"/>
        <s v="Medium Crispy Chole Pizzabun"/>
        <s v="Minty Pizzabun"/>
        <s v="Aloo Shots Pizzabun"/>
      </sharedItems>
      <fieldGroup par="19"/>
    </cacheField>
    <cacheField name="Actual Price" numFmtId="0">
      <sharedItems containsSemiMixedTypes="0" containsString="0" containsNumber="1" containsInteger="1" minValue="0" maxValue="1000" count="43">
        <n v="576"/>
        <n v="455"/>
        <n v="750"/>
        <n v="650"/>
        <n v="288"/>
        <n v="520"/>
        <n v="780"/>
        <n v="420"/>
        <n v="648"/>
        <n v="260"/>
        <n v="864"/>
        <n v="475"/>
        <n v="360"/>
        <n v="325"/>
        <n v="500"/>
        <n v="390"/>
        <n v="840"/>
        <n v="250"/>
        <n v="660"/>
        <n v="760"/>
        <n v="910"/>
        <n v="504"/>
        <n v="195"/>
        <n v="792"/>
        <n v="900"/>
        <n v="855"/>
        <n v="540"/>
        <n v="845"/>
        <n v="715"/>
        <n v="190"/>
        <n v="432"/>
        <n v="720"/>
        <n v="600"/>
        <n v="216"/>
        <n v="570"/>
        <n v="1000"/>
        <n v="480"/>
        <n v="585"/>
        <n v="665"/>
        <n v="380"/>
        <n v="300"/>
        <n v="240"/>
        <n v="285"/>
      </sharedItems>
    </cacheField>
    <cacheField name="Final Price" numFmtId="0">
      <sharedItems containsSemiMixedTypes="0" containsString="0" containsNumber="1" containsInteger="1" minValue="0" maxValue="981" count="467">
        <n v="568"/>
        <n v="445"/>
        <n v="54"/>
        <n v="514"/>
        <n v="235"/>
        <n v="462"/>
        <n v="328"/>
        <n v="756"/>
        <n v="320"/>
        <n v="520"/>
        <n v="242"/>
        <n v="737"/>
        <n v="477"/>
        <n v="680"/>
        <n v="231"/>
        <n v="348"/>
        <n v="626"/>
        <n v="761"/>
        <n v="470"/>
        <n v="313"/>
        <n v="243"/>
        <n v="539"/>
        <n v="453"/>
        <n v="289"/>
        <n v="476"/>
        <n v="281"/>
        <n v="776"/>
        <n v="760"/>
        <n v="227"/>
        <n v="146"/>
        <n v="517"/>
        <n v="516"/>
        <n v="551"/>
        <n v="326"/>
        <n v="335"/>
        <n v="530"/>
        <n v="638"/>
        <n v="347"/>
        <n v="343"/>
        <n v="153"/>
        <n v="681"/>
        <n v="413"/>
        <n v="161"/>
        <n v="61"/>
        <n v="454"/>
        <n v="284"/>
        <n v="381"/>
        <n v="205"/>
        <n v="294"/>
        <n v="378"/>
        <n v="594"/>
        <n v="424"/>
        <n v="572"/>
        <n v="624"/>
        <n v="694"/>
        <n v="232"/>
        <n v="751"/>
        <n v="878"/>
        <n v="846"/>
        <n v="425"/>
        <n v="510"/>
        <n v="563"/>
        <n v="499"/>
        <n v="697"/>
        <n v="589"/>
        <n v="293"/>
        <n v="775"/>
        <n v="773"/>
        <n v="505"/>
        <n v="446"/>
        <n v="674"/>
        <n v="160"/>
        <n v="277"/>
        <n v="307"/>
        <n v="487"/>
        <n v="354"/>
        <n v="322"/>
        <n v="184"/>
        <n v="303"/>
        <n v="379"/>
        <n v="436"/>
        <n v="524"/>
        <n v="301"/>
        <n v="323"/>
        <n v="181"/>
        <n v="68"/>
        <n v="571"/>
        <n v="168"/>
        <n v="467"/>
        <n v="52"/>
        <n v="755"/>
        <n v="46"/>
        <n v="342"/>
        <n v="238"/>
        <n v="458"/>
        <n v="94"/>
        <n v="498"/>
        <n v="117"/>
        <n v="67"/>
        <n v="297"/>
        <n v="465"/>
        <n v="159"/>
        <n v="262"/>
        <n v="250"/>
        <n v="550"/>
        <n v="11"/>
        <n v="47"/>
        <n v="19"/>
        <n v="65"/>
        <n v="29"/>
        <n v="496"/>
        <n v="253"/>
        <n v="115"/>
        <n v="325"/>
        <n v="585"/>
        <n v="464"/>
        <n v="79"/>
        <n v="237"/>
        <n v="569"/>
        <n v="358"/>
        <n v="362"/>
        <n v="75"/>
        <n v="78"/>
        <n v="605"/>
        <n v="633"/>
        <n v="389"/>
        <n v="827"/>
        <n v="36"/>
        <n v="296"/>
        <n v="13"/>
        <n v="18"/>
        <n v="48"/>
        <n v="433"/>
        <n v="473"/>
        <n v="504"/>
        <n v="33"/>
        <n v="290"/>
        <n v="96"/>
        <n v="314"/>
        <n v="331"/>
        <n v="219"/>
        <n v="137"/>
        <n v="402"/>
        <n v="261"/>
        <n v="459"/>
        <n v="169"/>
        <n v="264"/>
        <n v="1"/>
        <n v="493"/>
        <n v="642"/>
        <n v="395"/>
        <n v="360"/>
        <n v="58"/>
        <n v="545"/>
        <n v="50"/>
        <n v="86"/>
        <n v="265"/>
        <n v="479"/>
        <n v="136"/>
        <n v="32"/>
        <n v="430"/>
        <n v="701"/>
        <n v="230"/>
        <n v="198"/>
        <n v="338"/>
        <n v="714"/>
        <n v="38"/>
        <n v="935"/>
        <n v="439"/>
        <n v="244"/>
        <n v="407"/>
        <n v="53"/>
        <n v="300"/>
        <n v="100"/>
        <n v="207"/>
        <n v="708"/>
        <n v="500"/>
        <n v="733"/>
        <n v="108"/>
        <n v="143"/>
        <n v="371"/>
        <n v="142"/>
        <n v="613"/>
        <n v="361"/>
        <n v="193"/>
        <n v="74"/>
        <n v="177"/>
        <n v="39"/>
        <n v="4"/>
        <n v="27"/>
        <n v="31"/>
        <n v="220"/>
        <n v="49"/>
        <n v="558"/>
        <n v="239"/>
        <n v="118"/>
        <n v="192"/>
        <n v="156"/>
        <n v="599"/>
        <n v="295"/>
        <n v="34"/>
        <n v="44"/>
        <n v="234"/>
        <n v="508"/>
        <n v="3"/>
        <n v="211"/>
        <n v="148"/>
        <n v="486"/>
        <n v="506"/>
        <n v="494"/>
        <n v="441"/>
        <n v="709"/>
        <n v="84"/>
        <n v="584"/>
        <n v="653"/>
        <n v="185"/>
        <n v="190"/>
        <n v="15"/>
        <n v="56"/>
        <n v="95"/>
        <n v="2"/>
        <n v="102"/>
        <n v="664"/>
        <n v="7"/>
        <n v="764"/>
        <n v="598"/>
        <n v="247"/>
        <n v="109"/>
        <n v="87"/>
        <n v="380"/>
        <n v="417"/>
        <n v="341"/>
        <n v="324"/>
        <n v="631"/>
        <n v="213"/>
        <n v="414"/>
        <n v="154"/>
        <n v="140"/>
        <n v="270"/>
        <n v="104"/>
        <n v="88"/>
        <n v="427"/>
        <n v="240"/>
        <n v="363"/>
        <n v="346"/>
        <n v="526"/>
        <n v="202"/>
        <n v="191"/>
        <n v="57"/>
        <n v="187"/>
        <n v="224"/>
        <n v="560"/>
        <n v="172"/>
        <n v="318"/>
        <n v="770"/>
        <n v="80"/>
        <n v="440"/>
        <n v="245"/>
        <n v="176"/>
        <n v="60"/>
        <n v="450"/>
        <n v="618"/>
        <n v="221"/>
        <n v="22"/>
        <n v="189"/>
        <n v="610"/>
        <n v="178"/>
        <n v="455"/>
        <n v="337"/>
        <n v="637"/>
        <n v="152"/>
        <n v="83"/>
        <n v="738"/>
        <n v="139"/>
        <n v="199"/>
        <n v="754"/>
        <n v="365"/>
        <n v="908"/>
        <n v="592"/>
        <n v="266"/>
        <n v="705"/>
        <n v="644"/>
        <n v="448"/>
        <n v="204"/>
        <n v="887"/>
        <n v="729"/>
        <n v="422"/>
        <n v="406"/>
        <n v="188"/>
        <n v="596"/>
        <n v="254"/>
        <n v="131"/>
        <n v="531"/>
        <n v="288"/>
        <n v="359"/>
        <n v="197"/>
        <n v="377"/>
        <n v="484"/>
        <n v="334"/>
        <n v="339"/>
        <n v="241"/>
        <n v="330"/>
        <n v="151"/>
        <n v="186"/>
        <n v="114"/>
        <n v="429"/>
        <n v="650"/>
        <n v="412"/>
        <n v="173"/>
        <n v="579"/>
        <n v="315"/>
        <n v="5"/>
        <n v="92"/>
        <n v="91"/>
        <n v="280"/>
        <n v="472"/>
        <n v="174"/>
        <n v="17"/>
        <n v="489"/>
        <n v="575"/>
        <n v="533"/>
        <n v="103"/>
        <n v="14"/>
        <n v="590"/>
        <n v="6"/>
        <n v="415"/>
        <n v="684"/>
        <n v="41"/>
        <n v="409"/>
        <n v="182"/>
        <n v="147"/>
        <n v="112"/>
        <n v="434"/>
        <n v="352"/>
        <n v="634"/>
        <n v="89"/>
        <n v="120"/>
        <n v="133"/>
        <n v="121"/>
        <n v="98"/>
        <n v="396"/>
        <n v="218"/>
        <n v="535"/>
        <n v="696"/>
        <n v="651"/>
        <n v="105"/>
        <n v="71"/>
        <n v="158"/>
        <n v="43"/>
        <n v="353"/>
        <n v="273"/>
        <n v="171"/>
        <n v="26"/>
        <n v="641"/>
        <n v="162"/>
        <n v="263"/>
        <n v="329"/>
        <n v="981"/>
        <n v="707"/>
        <n v="340"/>
        <n v="138"/>
        <n v="216"/>
        <n v="435"/>
        <n v="552"/>
        <n v="76"/>
        <n v="64"/>
        <n v="28"/>
        <n v="85"/>
        <n v="299"/>
        <n v="252"/>
        <n v="382"/>
        <n v="111"/>
        <n v="443"/>
        <n v="711"/>
        <n v="715"/>
        <n v="59"/>
        <n v="540"/>
        <n v="255"/>
        <n v="132"/>
        <n v="258"/>
        <n v="576"/>
        <n v="209"/>
        <n v="403"/>
        <n v="292"/>
        <n v="113"/>
        <n v="351"/>
        <n v="366"/>
        <n v="799"/>
        <n v="478"/>
        <n v="671"/>
        <n v="574"/>
        <n v="35"/>
        <n v="42"/>
        <n v="384"/>
        <n v="233"/>
        <n v="93"/>
        <n v="134"/>
        <n v="180"/>
        <n v="123"/>
        <n v="399"/>
        <n v="398"/>
        <n v="101"/>
        <n v="608"/>
        <n v="423"/>
        <n v="25"/>
        <n v="491"/>
        <n v="497"/>
        <n v="620"/>
        <n v="451"/>
        <n v="10"/>
        <n v="345"/>
        <n v="667"/>
        <n v="12"/>
        <n v="375"/>
        <n v="122"/>
        <n v="164"/>
        <n v="418"/>
        <n v="312"/>
        <n v="246"/>
        <n v="603"/>
        <n v="183"/>
        <n v="124"/>
        <n v="37"/>
        <n v="63"/>
        <n v="144"/>
        <n v="166"/>
        <n v="203"/>
        <n v="357"/>
        <n v="24"/>
        <n v="285"/>
        <n v="597"/>
        <n v="145"/>
        <n v="511"/>
        <n v="816"/>
        <n v="522"/>
        <n v="23"/>
        <n v="45"/>
        <n v="110"/>
        <n v="269"/>
        <n v="126"/>
        <n v="259"/>
        <n v="675"/>
        <n v="200"/>
        <n v="212"/>
        <n v="336"/>
        <n v="149"/>
        <n v="521"/>
        <n v="141"/>
        <n v="119"/>
        <n v="515"/>
        <n v="223"/>
        <n v="229"/>
        <n v="275"/>
        <n v="279"/>
        <n v="355"/>
        <n v="676"/>
        <n v="383"/>
        <n v="77"/>
        <n v="536"/>
        <n v="385"/>
        <n v="215"/>
        <n v="562"/>
        <n v="449"/>
        <n v="163"/>
        <n v="311"/>
        <n v="367"/>
        <n v="251"/>
      </sharedItems>
    </cacheField>
    <cacheField name="Cost per Pizza" numFmtId="0">
      <sharedItems containsSemiMixedTypes="0" containsString="0" containsNumber="1" containsInteger="1" minValue="0" maxValue="163" count="96">
        <n v="41"/>
        <n v="42"/>
        <n v="160"/>
        <n v="35"/>
        <n v="22"/>
        <n v="40"/>
        <n v="78"/>
        <n v="57"/>
        <n v="43"/>
        <n v="34"/>
        <n v="65"/>
        <n v="38"/>
        <n v="133"/>
        <n v="62"/>
        <n v="61"/>
        <n v="26"/>
        <n v="145"/>
        <n v="19"/>
        <n v="31"/>
        <n v="95"/>
        <n v="32"/>
        <n v="29"/>
        <n v="23"/>
        <n v="155"/>
        <n v="72"/>
        <n v="37"/>
        <n v="18"/>
        <n v="75"/>
        <n v="20"/>
        <n v="33"/>
        <n v="28"/>
        <n v="24"/>
        <n v="90"/>
        <n v="85"/>
        <n v="27"/>
        <n v="130"/>
        <n v="81"/>
        <n v="44"/>
        <n v="115"/>
        <n v="69"/>
        <n v="15"/>
        <n v="25"/>
        <n v="30"/>
        <n v="125"/>
        <n v="59"/>
        <n v="163"/>
        <n v="21"/>
        <n v="118"/>
        <n v="73"/>
        <n v="53"/>
        <n v="17"/>
        <n v="103"/>
        <n v="46"/>
        <n v="66"/>
        <n v="128"/>
        <n v="64"/>
        <n v="105"/>
        <n v="83"/>
        <n v="98"/>
        <n v="52"/>
        <n v="108"/>
        <n v="110"/>
        <n v="120"/>
        <n v="16"/>
        <n v="113"/>
        <n v="55"/>
        <n v="88"/>
        <n v="45"/>
        <n v="148"/>
        <n v="60"/>
        <n v="36"/>
        <n v="63"/>
        <n v="138"/>
        <n v="47"/>
        <n v="135"/>
        <n v="70"/>
        <n v="48"/>
        <n v="143"/>
        <n v="77"/>
        <n v="153"/>
        <n v="158"/>
        <n v="49"/>
        <n v="39"/>
        <n v="82"/>
        <n v="50"/>
        <n v="100"/>
        <n v="51"/>
        <n v="74"/>
        <n v="56"/>
        <n v="140"/>
        <n v="80"/>
        <n v="123"/>
        <n v="93"/>
        <n v="150"/>
        <n v="68"/>
        <n v="79"/>
      </sharedItems>
    </cacheField>
    <cacheField name="Rating Given2" numFmtId="0" databaseField="0">
      <fieldGroup base="8">
        <discretePr count="10">
          <x v="0"/>
          <x v="1"/>
          <x v="0"/>
          <x v="1"/>
          <x v="2"/>
          <x v="2"/>
          <x v="2"/>
          <x v="2"/>
          <x v="0"/>
          <x v="1"/>
        </discretePr>
        <groupItems count="3">
          <s v="GROUP3"/>
          <s v="GROUP2"/>
          <s v="GROUP1"/>
        </groupItems>
      </fieldGroup>
    </cacheField>
    <cacheField name="Product Name2" numFmtId="0" databaseField="0">
      <fieldGroup base="14">
        <discretePr count="6">
          <x v="0"/>
          <x v="1"/>
          <x v="0"/>
          <x v="1"/>
          <x v="2"/>
          <x v="2"/>
        </discretePr>
        <groupItems count="3">
          <s v="GROUP2"/>
          <s v="GROUP1"/>
          <s v="GROUP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1"/>
    <x v="2"/>
    <x v="2"/>
    <x v="2"/>
    <x v="2"/>
    <x v="2"/>
    <x v="2"/>
    <x v="0"/>
    <x v="2"/>
    <x v="2"/>
    <x v="2"/>
    <x v="2"/>
    <x v="2"/>
  </r>
  <r>
    <x v="3"/>
    <x v="3"/>
    <x v="3"/>
    <x v="3"/>
    <x v="0"/>
    <x v="0"/>
    <x v="3"/>
    <x v="0"/>
    <x v="3"/>
    <x v="3"/>
    <x v="3"/>
    <x v="3"/>
    <x v="1"/>
    <x v="3"/>
    <x v="3"/>
    <x v="3"/>
    <x v="3"/>
    <x v="3"/>
  </r>
  <r>
    <x v="4"/>
    <x v="4"/>
    <x v="4"/>
    <x v="4"/>
    <x v="1"/>
    <x v="0"/>
    <x v="4"/>
    <x v="1"/>
    <x v="4"/>
    <x v="4"/>
    <x v="0"/>
    <x v="4"/>
    <x v="0"/>
    <x v="4"/>
    <x v="0"/>
    <x v="4"/>
    <x v="4"/>
    <x v="4"/>
  </r>
  <r>
    <x v="5"/>
    <x v="5"/>
    <x v="5"/>
    <x v="5"/>
    <x v="1"/>
    <x v="0"/>
    <x v="5"/>
    <x v="2"/>
    <x v="5"/>
    <x v="5"/>
    <x v="1"/>
    <x v="0"/>
    <x v="1"/>
    <x v="5"/>
    <x v="1"/>
    <x v="5"/>
    <x v="5"/>
    <x v="5"/>
  </r>
  <r>
    <x v="6"/>
    <x v="6"/>
    <x v="6"/>
    <x v="6"/>
    <x v="0"/>
    <x v="0"/>
    <x v="6"/>
    <x v="0"/>
    <x v="6"/>
    <x v="6"/>
    <x v="2"/>
    <x v="2"/>
    <x v="0"/>
    <x v="6"/>
    <x v="2"/>
    <x v="2"/>
    <x v="6"/>
    <x v="6"/>
  </r>
  <r>
    <x v="7"/>
    <x v="7"/>
    <x v="7"/>
    <x v="1"/>
    <x v="1"/>
    <x v="0"/>
    <x v="7"/>
    <x v="1"/>
    <x v="0"/>
    <x v="7"/>
    <x v="3"/>
    <x v="5"/>
    <x v="1"/>
    <x v="7"/>
    <x v="3"/>
    <x v="6"/>
    <x v="7"/>
    <x v="7"/>
  </r>
  <r>
    <x v="8"/>
    <x v="8"/>
    <x v="8"/>
    <x v="7"/>
    <x v="1"/>
    <x v="1"/>
    <x v="8"/>
    <x v="2"/>
    <x v="3"/>
    <x v="8"/>
    <x v="4"/>
    <x v="1"/>
    <x v="0"/>
    <x v="8"/>
    <x v="4"/>
    <x v="7"/>
    <x v="8"/>
    <x v="4"/>
  </r>
  <r>
    <x v="9"/>
    <x v="9"/>
    <x v="5"/>
    <x v="8"/>
    <x v="0"/>
    <x v="0"/>
    <x v="9"/>
    <x v="0"/>
    <x v="0"/>
    <x v="9"/>
    <x v="0"/>
    <x v="6"/>
    <x v="1"/>
    <x v="9"/>
    <x v="0"/>
    <x v="8"/>
    <x v="9"/>
    <x v="8"/>
  </r>
  <r>
    <x v="10"/>
    <x v="10"/>
    <x v="9"/>
    <x v="9"/>
    <x v="1"/>
    <x v="0"/>
    <x v="10"/>
    <x v="1"/>
    <x v="0"/>
    <x v="10"/>
    <x v="1"/>
    <x v="4"/>
    <x v="0"/>
    <x v="10"/>
    <x v="1"/>
    <x v="9"/>
    <x v="10"/>
    <x v="9"/>
  </r>
  <r>
    <x v="11"/>
    <x v="11"/>
    <x v="10"/>
    <x v="10"/>
    <x v="2"/>
    <x v="0"/>
    <x v="11"/>
    <x v="2"/>
    <x v="7"/>
    <x v="11"/>
    <x v="2"/>
    <x v="2"/>
    <x v="1"/>
    <x v="11"/>
    <x v="2"/>
    <x v="2"/>
    <x v="11"/>
    <x v="10"/>
  </r>
  <r>
    <x v="12"/>
    <x v="12"/>
    <x v="6"/>
    <x v="2"/>
    <x v="0"/>
    <x v="0"/>
    <x v="12"/>
    <x v="0"/>
    <x v="4"/>
    <x v="12"/>
    <x v="3"/>
    <x v="3"/>
    <x v="0"/>
    <x v="12"/>
    <x v="3"/>
    <x v="3"/>
    <x v="12"/>
    <x v="11"/>
  </r>
  <r>
    <x v="13"/>
    <x v="13"/>
    <x v="11"/>
    <x v="11"/>
    <x v="1"/>
    <x v="0"/>
    <x v="13"/>
    <x v="1"/>
    <x v="7"/>
    <x v="13"/>
    <x v="0"/>
    <x v="7"/>
    <x v="1"/>
    <x v="13"/>
    <x v="0"/>
    <x v="10"/>
    <x v="13"/>
    <x v="3"/>
  </r>
  <r>
    <x v="14"/>
    <x v="14"/>
    <x v="5"/>
    <x v="12"/>
    <x v="2"/>
    <x v="1"/>
    <x v="14"/>
    <x v="2"/>
    <x v="8"/>
    <x v="14"/>
    <x v="1"/>
    <x v="4"/>
    <x v="0"/>
    <x v="14"/>
    <x v="1"/>
    <x v="9"/>
    <x v="14"/>
    <x v="5"/>
  </r>
  <r>
    <x v="15"/>
    <x v="15"/>
    <x v="12"/>
    <x v="13"/>
    <x v="0"/>
    <x v="0"/>
    <x v="15"/>
    <x v="0"/>
    <x v="7"/>
    <x v="15"/>
    <x v="2"/>
    <x v="2"/>
    <x v="1"/>
    <x v="15"/>
    <x v="2"/>
    <x v="2"/>
    <x v="15"/>
    <x v="12"/>
  </r>
  <r>
    <x v="16"/>
    <x v="16"/>
    <x v="10"/>
    <x v="0"/>
    <x v="1"/>
    <x v="0"/>
    <x v="16"/>
    <x v="1"/>
    <x v="6"/>
    <x v="16"/>
    <x v="3"/>
    <x v="3"/>
    <x v="0"/>
    <x v="16"/>
    <x v="3"/>
    <x v="3"/>
    <x v="16"/>
    <x v="13"/>
  </r>
  <r>
    <x v="17"/>
    <x v="17"/>
    <x v="4"/>
    <x v="0"/>
    <x v="2"/>
    <x v="0"/>
    <x v="17"/>
    <x v="2"/>
    <x v="9"/>
    <x v="17"/>
    <x v="4"/>
    <x v="8"/>
    <x v="0"/>
    <x v="17"/>
    <x v="4"/>
    <x v="6"/>
    <x v="17"/>
    <x v="4"/>
  </r>
  <r>
    <x v="18"/>
    <x v="18"/>
    <x v="13"/>
    <x v="14"/>
    <x v="0"/>
    <x v="0"/>
    <x v="18"/>
    <x v="0"/>
    <x v="6"/>
    <x v="18"/>
    <x v="5"/>
    <x v="3"/>
    <x v="1"/>
    <x v="18"/>
    <x v="5"/>
    <x v="11"/>
    <x v="18"/>
    <x v="14"/>
  </r>
  <r>
    <x v="19"/>
    <x v="19"/>
    <x v="14"/>
    <x v="15"/>
    <x v="1"/>
    <x v="0"/>
    <x v="19"/>
    <x v="1"/>
    <x v="9"/>
    <x v="19"/>
    <x v="0"/>
    <x v="3"/>
    <x v="1"/>
    <x v="19"/>
    <x v="0"/>
    <x v="12"/>
    <x v="19"/>
    <x v="15"/>
  </r>
  <r>
    <x v="20"/>
    <x v="20"/>
    <x v="15"/>
    <x v="16"/>
    <x v="1"/>
    <x v="1"/>
    <x v="20"/>
    <x v="2"/>
    <x v="9"/>
    <x v="20"/>
    <x v="1"/>
    <x v="4"/>
    <x v="1"/>
    <x v="20"/>
    <x v="1"/>
    <x v="9"/>
    <x v="20"/>
    <x v="11"/>
  </r>
  <r>
    <x v="21"/>
    <x v="21"/>
    <x v="16"/>
    <x v="10"/>
    <x v="0"/>
    <x v="0"/>
    <x v="21"/>
    <x v="0"/>
    <x v="7"/>
    <x v="21"/>
    <x v="2"/>
    <x v="2"/>
    <x v="0"/>
    <x v="21"/>
    <x v="2"/>
    <x v="2"/>
    <x v="12"/>
    <x v="16"/>
  </r>
  <r>
    <x v="22"/>
    <x v="22"/>
    <x v="17"/>
    <x v="17"/>
    <x v="1"/>
    <x v="0"/>
    <x v="22"/>
    <x v="1"/>
    <x v="7"/>
    <x v="22"/>
    <x v="3"/>
    <x v="5"/>
    <x v="0"/>
    <x v="22"/>
    <x v="3"/>
    <x v="6"/>
    <x v="21"/>
    <x v="14"/>
  </r>
  <r>
    <x v="23"/>
    <x v="23"/>
    <x v="18"/>
    <x v="13"/>
    <x v="2"/>
    <x v="0"/>
    <x v="23"/>
    <x v="2"/>
    <x v="1"/>
    <x v="23"/>
    <x v="0"/>
    <x v="0"/>
    <x v="0"/>
    <x v="23"/>
    <x v="0"/>
    <x v="0"/>
    <x v="22"/>
    <x v="17"/>
  </r>
  <r>
    <x v="24"/>
    <x v="24"/>
    <x v="19"/>
    <x v="13"/>
    <x v="0"/>
    <x v="0"/>
    <x v="24"/>
    <x v="0"/>
    <x v="5"/>
    <x v="24"/>
    <x v="1"/>
    <x v="3"/>
    <x v="0"/>
    <x v="24"/>
    <x v="1"/>
    <x v="13"/>
    <x v="23"/>
    <x v="18"/>
  </r>
  <r>
    <x v="25"/>
    <x v="25"/>
    <x v="20"/>
    <x v="5"/>
    <x v="1"/>
    <x v="0"/>
    <x v="25"/>
    <x v="1"/>
    <x v="7"/>
    <x v="25"/>
    <x v="2"/>
    <x v="9"/>
    <x v="0"/>
    <x v="25"/>
    <x v="2"/>
    <x v="14"/>
    <x v="24"/>
    <x v="19"/>
  </r>
  <r>
    <x v="26"/>
    <x v="26"/>
    <x v="21"/>
    <x v="14"/>
    <x v="2"/>
    <x v="1"/>
    <x v="26"/>
    <x v="2"/>
    <x v="2"/>
    <x v="26"/>
    <x v="3"/>
    <x v="2"/>
    <x v="0"/>
    <x v="26"/>
    <x v="3"/>
    <x v="15"/>
    <x v="25"/>
    <x v="1"/>
  </r>
  <r>
    <x v="27"/>
    <x v="27"/>
    <x v="22"/>
    <x v="18"/>
    <x v="0"/>
    <x v="0"/>
    <x v="27"/>
    <x v="0"/>
    <x v="4"/>
    <x v="27"/>
    <x v="4"/>
    <x v="10"/>
    <x v="0"/>
    <x v="27"/>
    <x v="4"/>
    <x v="16"/>
    <x v="26"/>
    <x v="20"/>
  </r>
  <r>
    <x v="28"/>
    <x v="28"/>
    <x v="23"/>
    <x v="0"/>
    <x v="1"/>
    <x v="0"/>
    <x v="28"/>
    <x v="1"/>
    <x v="0"/>
    <x v="0"/>
    <x v="0"/>
    <x v="7"/>
    <x v="0"/>
    <x v="28"/>
    <x v="0"/>
    <x v="10"/>
    <x v="27"/>
    <x v="21"/>
  </r>
  <r>
    <x v="29"/>
    <x v="29"/>
    <x v="24"/>
    <x v="11"/>
    <x v="2"/>
    <x v="0"/>
    <x v="29"/>
    <x v="2"/>
    <x v="3"/>
    <x v="1"/>
    <x v="1"/>
    <x v="3"/>
    <x v="0"/>
    <x v="29"/>
    <x v="1"/>
    <x v="13"/>
    <x v="28"/>
    <x v="22"/>
  </r>
  <r>
    <x v="30"/>
    <x v="30"/>
    <x v="25"/>
    <x v="2"/>
    <x v="0"/>
    <x v="0"/>
    <x v="30"/>
    <x v="0"/>
    <x v="1"/>
    <x v="2"/>
    <x v="2"/>
    <x v="11"/>
    <x v="1"/>
    <x v="30"/>
    <x v="2"/>
    <x v="17"/>
    <x v="29"/>
    <x v="23"/>
  </r>
  <r>
    <x v="31"/>
    <x v="31"/>
    <x v="26"/>
    <x v="7"/>
    <x v="1"/>
    <x v="0"/>
    <x v="31"/>
    <x v="1"/>
    <x v="0"/>
    <x v="3"/>
    <x v="3"/>
    <x v="4"/>
    <x v="0"/>
    <x v="31"/>
    <x v="3"/>
    <x v="5"/>
    <x v="30"/>
    <x v="24"/>
  </r>
  <r>
    <x v="32"/>
    <x v="32"/>
    <x v="11"/>
    <x v="13"/>
    <x v="1"/>
    <x v="1"/>
    <x v="32"/>
    <x v="2"/>
    <x v="4"/>
    <x v="4"/>
    <x v="0"/>
    <x v="0"/>
    <x v="0"/>
    <x v="32"/>
    <x v="0"/>
    <x v="0"/>
    <x v="31"/>
    <x v="25"/>
  </r>
  <r>
    <x v="33"/>
    <x v="33"/>
    <x v="6"/>
    <x v="14"/>
    <x v="0"/>
    <x v="0"/>
    <x v="33"/>
    <x v="0"/>
    <x v="0"/>
    <x v="5"/>
    <x v="1"/>
    <x v="7"/>
    <x v="0"/>
    <x v="33"/>
    <x v="1"/>
    <x v="6"/>
    <x v="32"/>
    <x v="26"/>
  </r>
  <r>
    <x v="34"/>
    <x v="34"/>
    <x v="22"/>
    <x v="13"/>
    <x v="1"/>
    <x v="0"/>
    <x v="34"/>
    <x v="1"/>
    <x v="8"/>
    <x v="6"/>
    <x v="2"/>
    <x v="2"/>
    <x v="0"/>
    <x v="34"/>
    <x v="2"/>
    <x v="2"/>
    <x v="33"/>
    <x v="27"/>
  </r>
  <r>
    <x v="35"/>
    <x v="35"/>
    <x v="4"/>
    <x v="3"/>
    <x v="2"/>
    <x v="0"/>
    <x v="35"/>
    <x v="2"/>
    <x v="6"/>
    <x v="7"/>
    <x v="3"/>
    <x v="2"/>
    <x v="0"/>
    <x v="35"/>
    <x v="3"/>
    <x v="15"/>
    <x v="34"/>
    <x v="11"/>
  </r>
  <r>
    <x v="36"/>
    <x v="36"/>
    <x v="12"/>
    <x v="16"/>
    <x v="0"/>
    <x v="0"/>
    <x v="36"/>
    <x v="0"/>
    <x v="6"/>
    <x v="8"/>
    <x v="4"/>
    <x v="12"/>
    <x v="1"/>
    <x v="36"/>
    <x v="4"/>
    <x v="18"/>
    <x v="35"/>
    <x v="28"/>
  </r>
  <r>
    <x v="37"/>
    <x v="37"/>
    <x v="24"/>
    <x v="19"/>
    <x v="1"/>
    <x v="0"/>
    <x v="37"/>
    <x v="1"/>
    <x v="8"/>
    <x v="9"/>
    <x v="5"/>
    <x v="0"/>
    <x v="0"/>
    <x v="37"/>
    <x v="5"/>
    <x v="19"/>
    <x v="36"/>
    <x v="29"/>
  </r>
  <r>
    <x v="38"/>
    <x v="38"/>
    <x v="25"/>
    <x v="12"/>
    <x v="1"/>
    <x v="1"/>
    <x v="38"/>
    <x v="2"/>
    <x v="5"/>
    <x v="10"/>
    <x v="0"/>
    <x v="3"/>
    <x v="0"/>
    <x v="38"/>
    <x v="0"/>
    <x v="12"/>
    <x v="37"/>
    <x v="17"/>
  </r>
  <r>
    <x v="39"/>
    <x v="39"/>
    <x v="27"/>
    <x v="4"/>
    <x v="0"/>
    <x v="0"/>
    <x v="39"/>
    <x v="0"/>
    <x v="1"/>
    <x v="11"/>
    <x v="1"/>
    <x v="5"/>
    <x v="0"/>
    <x v="39"/>
    <x v="1"/>
    <x v="15"/>
    <x v="38"/>
    <x v="30"/>
  </r>
  <r>
    <x v="40"/>
    <x v="40"/>
    <x v="9"/>
    <x v="18"/>
    <x v="1"/>
    <x v="0"/>
    <x v="40"/>
    <x v="1"/>
    <x v="7"/>
    <x v="12"/>
    <x v="2"/>
    <x v="11"/>
    <x v="1"/>
    <x v="40"/>
    <x v="2"/>
    <x v="17"/>
    <x v="39"/>
    <x v="2"/>
  </r>
  <r>
    <x v="41"/>
    <x v="41"/>
    <x v="28"/>
    <x v="3"/>
    <x v="2"/>
    <x v="0"/>
    <x v="41"/>
    <x v="2"/>
    <x v="3"/>
    <x v="13"/>
    <x v="3"/>
    <x v="1"/>
    <x v="1"/>
    <x v="41"/>
    <x v="3"/>
    <x v="20"/>
    <x v="40"/>
    <x v="24"/>
  </r>
  <r>
    <x v="42"/>
    <x v="42"/>
    <x v="29"/>
    <x v="20"/>
    <x v="0"/>
    <x v="0"/>
    <x v="42"/>
    <x v="0"/>
    <x v="3"/>
    <x v="14"/>
    <x v="0"/>
    <x v="1"/>
    <x v="1"/>
    <x v="42"/>
    <x v="0"/>
    <x v="21"/>
    <x v="41"/>
    <x v="31"/>
  </r>
  <r>
    <x v="43"/>
    <x v="43"/>
    <x v="30"/>
    <x v="18"/>
    <x v="1"/>
    <x v="0"/>
    <x v="43"/>
    <x v="1"/>
    <x v="9"/>
    <x v="15"/>
    <x v="1"/>
    <x v="2"/>
    <x v="1"/>
    <x v="43"/>
    <x v="1"/>
    <x v="22"/>
    <x v="42"/>
    <x v="5"/>
  </r>
  <r>
    <x v="44"/>
    <x v="44"/>
    <x v="31"/>
    <x v="17"/>
    <x v="2"/>
    <x v="1"/>
    <x v="44"/>
    <x v="2"/>
    <x v="6"/>
    <x v="16"/>
    <x v="2"/>
    <x v="11"/>
    <x v="1"/>
    <x v="44"/>
    <x v="2"/>
    <x v="17"/>
    <x v="43"/>
    <x v="32"/>
  </r>
  <r>
    <x v="45"/>
    <x v="45"/>
    <x v="32"/>
    <x v="2"/>
    <x v="0"/>
    <x v="0"/>
    <x v="45"/>
    <x v="0"/>
    <x v="0"/>
    <x v="17"/>
    <x v="3"/>
    <x v="5"/>
    <x v="1"/>
    <x v="45"/>
    <x v="3"/>
    <x v="6"/>
    <x v="44"/>
    <x v="9"/>
  </r>
  <r>
    <x v="46"/>
    <x v="46"/>
    <x v="33"/>
    <x v="4"/>
    <x v="1"/>
    <x v="0"/>
    <x v="46"/>
    <x v="1"/>
    <x v="7"/>
    <x v="18"/>
    <x v="0"/>
    <x v="4"/>
    <x v="0"/>
    <x v="0"/>
    <x v="0"/>
    <x v="4"/>
    <x v="45"/>
    <x v="31"/>
  </r>
  <r>
    <x v="47"/>
    <x v="47"/>
    <x v="34"/>
    <x v="2"/>
    <x v="1"/>
    <x v="0"/>
    <x v="47"/>
    <x v="2"/>
    <x v="5"/>
    <x v="19"/>
    <x v="1"/>
    <x v="5"/>
    <x v="1"/>
    <x v="1"/>
    <x v="1"/>
    <x v="15"/>
    <x v="46"/>
    <x v="17"/>
  </r>
  <r>
    <x v="48"/>
    <x v="48"/>
    <x v="35"/>
    <x v="16"/>
    <x v="0"/>
    <x v="0"/>
    <x v="48"/>
    <x v="0"/>
    <x v="2"/>
    <x v="20"/>
    <x v="2"/>
    <x v="2"/>
    <x v="0"/>
    <x v="2"/>
    <x v="2"/>
    <x v="2"/>
    <x v="2"/>
    <x v="33"/>
  </r>
  <r>
    <x v="49"/>
    <x v="49"/>
    <x v="36"/>
    <x v="21"/>
    <x v="1"/>
    <x v="0"/>
    <x v="49"/>
    <x v="0"/>
    <x v="3"/>
    <x v="21"/>
    <x v="3"/>
    <x v="9"/>
    <x v="1"/>
    <x v="3"/>
    <x v="3"/>
    <x v="9"/>
    <x v="47"/>
    <x v="10"/>
  </r>
  <r>
    <x v="50"/>
    <x v="50"/>
    <x v="37"/>
    <x v="22"/>
    <x v="0"/>
    <x v="0"/>
    <x v="50"/>
    <x v="0"/>
    <x v="0"/>
    <x v="22"/>
    <x v="0"/>
    <x v="3"/>
    <x v="0"/>
    <x v="4"/>
    <x v="0"/>
    <x v="12"/>
    <x v="48"/>
    <x v="8"/>
  </r>
  <r>
    <x v="51"/>
    <x v="51"/>
    <x v="1"/>
    <x v="2"/>
    <x v="1"/>
    <x v="0"/>
    <x v="51"/>
    <x v="1"/>
    <x v="1"/>
    <x v="23"/>
    <x v="1"/>
    <x v="0"/>
    <x v="1"/>
    <x v="5"/>
    <x v="1"/>
    <x v="5"/>
    <x v="5"/>
    <x v="9"/>
  </r>
  <r>
    <x v="52"/>
    <x v="52"/>
    <x v="2"/>
    <x v="14"/>
    <x v="2"/>
    <x v="1"/>
    <x v="52"/>
    <x v="2"/>
    <x v="2"/>
    <x v="24"/>
    <x v="2"/>
    <x v="2"/>
    <x v="0"/>
    <x v="6"/>
    <x v="2"/>
    <x v="2"/>
    <x v="6"/>
    <x v="6"/>
  </r>
  <r>
    <x v="53"/>
    <x v="53"/>
    <x v="3"/>
    <x v="3"/>
    <x v="0"/>
    <x v="0"/>
    <x v="53"/>
    <x v="0"/>
    <x v="3"/>
    <x v="25"/>
    <x v="3"/>
    <x v="2"/>
    <x v="1"/>
    <x v="7"/>
    <x v="3"/>
    <x v="15"/>
    <x v="49"/>
    <x v="6"/>
  </r>
  <r>
    <x v="54"/>
    <x v="54"/>
    <x v="4"/>
    <x v="23"/>
    <x v="1"/>
    <x v="0"/>
    <x v="54"/>
    <x v="1"/>
    <x v="4"/>
    <x v="26"/>
    <x v="4"/>
    <x v="8"/>
    <x v="0"/>
    <x v="8"/>
    <x v="4"/>
    <x v="6"/>
    <x v="50"/>
    <x v="34"/>
  </r>
  <r>
    <x v="55"/>
    <x v="55"/>
    <x v="5"/>
    <x v="17"/>
    <x v="1"/>
    <x v="0"/>
    <x v="55"/>
    <x v="2"/>
    <x v="5"/>
    <x v="27"/>
    <x v="0"/>
    <x v="3"/>
    <x v="1"/>
    <x v="9"/>
    <x v="0"/>
    <x v="12"/>
    <x v="23"/>
    <x v="31"/>
  </r>
  <r>
    <x v="56"/>
    <x v="56"/>
    <x v="7"/>
    <x v="4"/>
    <x v="0"/>
    <x v="0"/>
    <x v="56"/>
    <x v="0"/>
    <x v="6"/>
    <x v="0"/>
    <x v="1"/>
    <x v="1"/>
    <x v="0"/>
    <x v="10"/>
    <x v="1"/>
    <x v="1"/>
    <x v="51"/>
    <x v="22"/>
  </r>
  <r>
    <x v="57"/>
    <x v="57"/>
    <x v="7"/>
    <x v="24"/>
    <x v="1"/>
    <x v="0"/>
    <x v="57"/>
    <x v="1"/>
    <x v="0"/>
    <x v="1"/>
    <x v="2"/>
    <x v="2"/>
    <x v="1"/>
    <x v="11"/>
    <x v="2"/>
    <x v="2"/>
    <x v="11"/>
    <x v="35"/>
  </r>
  <r>
    <x v="58"/>
    <x v="58"/>
    <x v="8"/>
    <x v="9"/>
    <x v="0"/>
    <x v="1"/>
    <x v="58"/>
    <x v="2"/>
    <x v="3"/>
    <x v="13"/>
    <x v="3"/>
    <x v="5"/>
    <x v="0"/>
    <x v="12"/>
    <x v="3"/>
    <x v="6"/>
    <x v="52"/>
    <x v="36"/>
  </r>
  <r>
    <x v="59"/>
    <x v="59"/>
    <x v="38"/>
    <x v="24"/>
    <x v="1"/>
    <x v="0"/>
    <x v="59"/>
    <x v="0"/>
    <x v="0"/>
    <x v="14"/>
    <x v="0"/>
    <x v="12"/>
    <x v="1"/>
    <x v="13"/>
    <x v="0"/>
    <x v="23"/>
    <x v="53"/>
    <x v="37"/>
  </r>
  <r>
    <x v="60"/>
    <x v="60"/>
    <x v="9"/>
    <x v="20"/>
    <x v="1"/>
    <x v="0"/>
    <x v="60"/>
    <x v="1"/>
    <x v="0"/>
    <x v="15"/>
    <x v="1"/>
    <x v="7"/>
    <x v="0"/>
    <x v="14"/>
    <x v="1"/>
    <x v="6"/>
    <x v="54"/>
    <x v="20"/>
  </r>
  <r>
    <x v="61"/>
    <x v="61"/>
    <x v="10"/>
    <x v="0"/>
    <x v="0"/>
    <x v="0"/>
    <x v="61"/>
    <x v="2"/>
    <x v="7"/>
    <x v="16"/>
    <x v="2"/>
    <x v="9"/>
    <x v="1"/>
    <x v="15"/>
    <x v="2"/>
    <x v="14"/>
    <x v="55"/>
    <x v="38"/>
  </r>
  <r>
    <x v="62"/>
    <x v="62"/>
    <x v="39"/>
    <x v="0"/>
    <x v="1"/>
    <x v="0"/>
    <x v="62"/>
    <x v="0"/>
    <x v="4"/>
    <x v="6"/>
    <x v="3"/>
    <x v="5"/>
    <x v="0"/>
    <x v="16"/>
    <x v="3"/>
    <x v="6"/>
    <x v="56"/>
    <x v="39"/>
  </r>
  <r>
    <x v="63"/>
    <x v="63"/>
    <x v="11"/>
    <x v="2"/>
    <x v="1"/>
    <x v="0"/>
    <x v="63"/>
    <x v="1"/>
    <x v="7"/>
    <x v="7"/>
    <x v="4"/>
    <x v="13"/>
    <x v="0"/>
    <x v="17"/>
    <x v="4"/>
    <x v="24"/>
    <x v="57"/>
    <x v="40"/>
  </r>
  <r>
    <x v="64"/>
    <x v="64"/>
    <x v="36"/>
    <x v="16"/>
    <x v="0"/>
    <x v="1"/>
    <x v="64"/>
    <x v="2"/>
    <x v="8"/>
    <x v="8"/>
    <x v="5"/>
    <x v="6"/>
    <x v="1"/>
    <x v="18"/>
    <x v="5"/>
    <x v="25"/>
    <x v="58"/>
    <x v="15"/>
  </r>
  <r>
    <x v="65"/>
    <x v="65"/>
    <x v="37"/>
    <x v="25"/>
    <x v="1"/>
    <x v="0"/>
    <x v="65"/>
    <x v="0"/>
    <x v="7"/>
    <x v="18"/>
    <x v="0"/>
    <x v="7"/>
    <x v="1"/>
    <x v="19"/>
    <x v="0"/>
    <x v="10"/>
    <x v="56"/>
    <x v="41"/>
  </r>
  <r>
    <x v="66"/>
    <x v="66"/>
    <x v="1"/>
    <x v="10"/>
    <x v="0"/>
    <x v="0"/>
    <x v="66"/>
    <x v="1"/>
    <x v="6"/>
    <x v="19"/>
    <x v="1"/>
    <x v="1"/>
    <x v="1"/>
    <x v="20"/>
    <x v="1"/>
    <x v="1"/>
    <x v="59"/>
    <x v="42"/>
  </r>
  <r>
    <x v="67"/>
    <x v="67"/>
    <x v="2"/>
    <x v="4"/>
    <x v="1"/>
    <x v="0"/>
    <x v="67"/>
    <x v="2"/>
    <x v="9"/>
    <x v="20"/>
    <x v="2"/>
    <x v="2"/>
    <x v="0"/>
    <x v="21"/>
    <x v="2"/>
    <x v="2"/>
    <x v="12"/>
    <x v="43"/>
  </r>
  <r>
    <x v="68"/>
    <x v="68"/>
    <x v="3"/>
    <x v="22"/>
    <x v="0"/>
    <x v="0"/>
    <x v="68"/>
    <x v="0"/>
    <x v="6"/>
    <x v="21"/>
    <x v="3"/>
    <x v="5"/>
    <x v="0"/>
    <x v="22"/>
    <x v="3"/>
    <x v="6"/>
    <x v="21"/>
    <x v="44"/>
  </r>
  <r>
    <x v="69"/>
    <x v="69"/>
    <x v="4"/>
    <x v="13"/>
    <x v="1"/>
    <x v="0"/>
    <x v="69"/>
    <x v="1"/>
    <x v="9"/>
    <x v="22"/>
    <x v="0"/>
    <x v="6"/>
    <x v="0"/>
    <x v="23"/>
    <x v="0"/>
    <x v="8"/>
    <x v="60"/>
    <x v="42"/>
  </r>
  <r>
    <x v="70"/>
    <x v="70"/>
    <x v="5"/>
    <x v="0"/>
    <x v="2"/>
    <x v="1"/>
    <x v="70"/>
    <x v="2"/>
    <x v="9"/>
    <x v="23"/>
    <x v="1"/>
    <x v="4"/>
    <x v="0"/>
    <x v="24"/>
    <x v="1"/>
    <x v="9"/>
    <x v="14"/>
    <x v="21"/>
  </r>
  <r>
    <x v="71"/>
    <x v="71"/>
    <x v="7"/>
    <x v="26"/>
    <x v="0"/>
    <x v="0"/>
    <x v="71"/>
    <x v="0"/>
    <x v="7"/>
    <x v="24"/>
    <x v="2"/>
    <x v="9"/>
    <x v="0"/>
    <x v="25"/>
    <x v="2"/>
    <x v="14"/>
    <x v="24"/>
    <x v="45"/>
  </r>
  <r>
    <x v="72"/>
    <x v="72"/>
    <x v="6"/>
    <x v="21"/>
    <x v="1"/>
    <x v="0"/>
    <x v="72"/>
    <x v="1"/>
    <x v="7"/>
    <x v="7"/>
    <x v="3"/>
    <x v="5"/>
    <x v="0"/>
    <x v="26"/>
    <x v="3"/>
    <x v="6"/>
    <x v="61"/>
    <x v="6"/>
  </r>
  <r>
    <x v="73"/>
    <x v="73"/>
    <x v="8"/>
    <x v="19"/>
    <x v="1"/>
    <x v="0"/>
    <x v="73"/>
    <x v="2"/>
    <x v="1"/>
    <x v="8"/>
    <x v="4"/>
    <x v="6"/>
    <x v="0"/>
    <x v="27"/>
    <x v="4"/>
    <x v="26"/>
    <x v="62"/>
    <x v="17"/>
  </r>
  <r>
    <x v="74"/>
    <x v="74"/>
    <x v="5"/>
    <x v="0"/>
    <x v="0"/>
    <x v="0"/>
    <x v="74"/>
    <x v="0"/>
    <x v="5"/>
    <x v="9"/>
    <x v="0"/>
    <x v="12"/>
    <x v="0"/>
    <x v="28"/>
    <x v="0"/>
    <x v="23"/>
    <x v="63"/>
    <x v="34"/>
  </r>
  <r>
    <x v="75"/>
    <x v="75"/>
    <x v="9"/>
    <x v="10"/>
    <x v="1"/>
    <x v="0"/>
    <x v="75"/>
    <x v="1"/>
    <x v="7"/>
    <x v="25"/>
    <x v="1"/>
    <x v="8"/>
    <x v="0"/>
    <x v="29"/>
    <x v="1"/>
    <x v="27"/>
    <x v="64"/>
    <x v="46"/>
  </r>
  <r>
    <x v="76"/>
    <x v="76"/>
    <x v="10"/>
    <x v="3"/>
    <x v="0"/>
    <x v="1"/>
    <x v="76"/>
    <x v="2"/>
    <x v="2"/>
    <x v="26"/>
    <x v="2"/>
    <x v="9"/>
    <x v="1"/>
    <x v="30"/>
    <x v="2"/>
    <x v="14"/>
    <x v="65"/>
    <x v="38"/>
  </r>
  <r>
    <x v="77"/>
    <x v="77"/>
    <x v="39"/>
    <x v="27"/>
    <x v="1"/>
    <x v="0"/>
    <x v="77"/>
    <x v="0"/>
    <x v="4"/>
    <x v="27"/>
    <x v="3"/>
    <x v="5"/>
    <x v="0"/>
    <x v="31"/>
    <x v="3"/>
    <x v="6"/>
    <x v="66"/>
    <x v="44"/>
  </r>
  <r>
    <x v="78"/>
    <x v="78"/>
    <x v="11"/>
    <x v="12"/>
    <x v="1"/>
    <x v="0"/>
    <x v="78"/>
    <x v="1"/>
    <x v="0"/>
    <x v="0"/>
    <x v="0"/>
    <x v="7"/>
    <x v="0"/>
    <x v="32"/>
    <x v="0"/>
    <x v="10"/>
    <x v="67"/>
    <x v="25"/>
  </r>
  <r>
    <x v="79"/>
    <x v="79"/>
    <x v="5"/>
    <x v="3"/>
    <x v="0"/>
    <x v="0"/>
    <x v="79"/>
    <x v="2"/>
    <x v="3"/>
    <x v="1"/>
    <x v="1"/>
    <x v="12"/>
    <x v="0"/>
    <x v="33"/>
    <x v="1"/>
    <x v="28"/>
    <x v="68"/>
    <x v="28"/>
  </r>
  <r>
    <x v="80"/>
    <x v="80"/>
    <x v="12"/>
    <x v="4"/>
    <x v="1"/>
    <x v="0"/>
    <x v="80"/>
    <x v="0"/>
    <x v="1"/>
    <x v="13"/>
    <x v="2"/>
    <x v="2"/>
    <x v="0"/>
    <x v="34"/>
    <x v="2"/>
    <x v="2"/>
    <x v="33"/>
    <x v="47"/>
  </r>
  <r>
    <x v="81"/>
    <x v="81"/>
    <x v="10"/>
    <x v="17"/>
    <x v="1"/>
    <x v="0"/>
    <x v="81"/>
    <x v="1"/>
    <x v="0"/>
    <x v="14"/>
    <x v="3"/>
    <x v="4"/>
    <x v="0"/>
    <x v="35"/>
    <x v="3"/>
    <x v="5"/>
    <x v="69"/>
    <x v="48"/>
  </r>
  <r>
    <x v="82"/>
    <x v="82"/>
    <x v="4"/>
    <x v="6"/>
    <x v="0"/>
    <x v="1"/>
    <x v="82"/>
    <x v="2"/>
    <x v="4"/>
    <x v="15"/>
    <x v="4"/>
    <x v="10"/>
    <x v="1"/>
    <x v="36"/>
    <x v="4"/>
    <x v="16"/>
    <x v="70"/>
    <x v="28"/>
  </r>
  <r>
    <x v="83"/>
    <x v="83"/>
    <x v="9"/>
    <x v="4"/>
    <x v="1"/>
    <x v="0"/>
    <x v="83"/>
    <x v="0"/>
    <x v="0"/>
    <x v="16"/>
    <x v="5"/>
    <x v="9"/>
    <x v="0"/>
    <x v="37"/>
    <x v="5"/>
    <x v="29"/>
    <x v="71"/>
    <x v="49"/>
  </r>
  <r>
    <x v="84"/>
    <x v="84"/>
    <x v="6"/>
    <x v="27"/>
    <x v="0"/>
    <x v="0"/>
    <x v="84"/>
    <x v="1"/>
    <x v="8"/>
    <x v="6"/>
    <x v="0"/>
    <x v="4"/>
    <x v="0"/>
    <x v="38"/>
    <x v="0"/>
    <x v="4"/>
    <x v="72"/>
    <x v="34"/>
  </r>
  <r>
    <x v="85"/>
    <x v="85"/>
    <x v="15"/>
    <x v="19"/>
    <x v="1"/>
    <x v="0"/>
    <x v="85"/>
    <x v="2"/>
    <x v="6"/>
    <x v="7"/>
    <x v="1"/>
    <x v="5"/>
    <x v="0"/>
    <x v="39"/>
    <x v="1"/>
    <x v="15"/>
    <x v="38"/>
    <x v="50"/>
  </r>
  <r>
    <x v="86"/>
    <x v="86"/>
    <x v="16"/>
    <x v="20"/>
    <x v="0"/>
    <x v="0"/>
    <x v="86"/>
    <x v="0"/>
    <x v="6"/>
    <x v="8"/>
    <x v="2"/>
    <x v="9"/>
    <x v="1"/>
    <x v="40"/>
    <x v="2"/>
    <x v="14"/>
    <x v="73"/>
    <x v="51"/>
  </r>
  <r>
    <x v="87"/>
    <x v="87"/>
    <x v="17"/>
    <x v="2"/>
    <x v="1"/>
    <x v="0"/>
    <x v="87"/>
    <x v="1"/>
    <x v="8"/>
    <x v="18"/>
    <x v="3"/>
    <x v="3"/>
    <x v="1"/>
    <x v="41"/>
    <x v="3"/>
    <x v="3"/>
    <x v="74"/>
    <x v="52"/>
  </r>
  <r>
    <x v="88"/>
    <x v="88"/>
    <x v="18"/>
    <x v="2"/>
    <x v="2"/>
    <x v="1"/>
    <x v="88"/>
    <x v="2"/>
    <x v="5"/>
    <x v="19"/>
    <x v="0"/>
    <x v="5"/>
    <x v="1"/>
    <x v="42"/>
    <x v="0"/>
    <x v="30"/>
    <x v="75"/>
    <x v="28"/>
  </r>
  <r>
    <x v="89"/>
    <x v="89"/>
    <x v="19"/>
    <x v="7"/>
    <x v="0"/>
    <x v="0"/>
    <x v="89"/>
    <x v="0"/>
    <x v="1"/>
    <x v="20"/>
    <x v="1"/>
    <x v="5"/>
    <x v="1"/>
    <x v="43"/>
    <x v="1"/>
    <x v="15"/>
    <x v="76"/>
    <x v="20"/>
  </r>
  <r>
    <x v="90"/>
    <x v="90"/>
    <x v="20"/>
    <x v="2"/>
    <x v="1"/>
    <x v="0"/>
    <x v="90"/>
    <x v="1"/>
    <x v="7"/>
    <x v="21"/>
    <x v="2"/>
    <x v="2"/>
    <x v="1"/>
    <x v="44"/>
    <x v="2"/>
    <x v="2"/>
    <x v="77"/>
    <x v="10"/>
  </r>
  <r>
    <x v="91"/>
    <x v="91"/>
    <x v="21"/>
    <x v="14"/>
    <x v="1"/>
    <x v="0"/>
    <x v="91"/>
    <x v="2"/>
    <x v="3"/>
    <x v="22"/>
    <x v="3"/>
    <x v="4"/>
    <x v="1"/>
    <x v="45"/>
    <x v="3"/>
    <x v="5"/>
    <x v="78"/>
    <x v="53"/>
  </r>
  <r>
    <x v="92"/>
    <x v="92"/>
    <x v="22"/>
    <x v="13"/>
    <x v="0"/>
    <x v="0"/>
    <x v="92"/>
    <x v="0"/>
    <x v="3"/>
    <x v="23"/>
    <x v="0"/>
    <x v="12"/>
    <x v="0"/>
    <x v="46"/>
    <x v="0"/>
    <x v="23"/>
    <x v="79"/>
    <x v="8"/>
  </r>
  <r>
    <x v="93"/>
    <x v="93"/>
    <x v="23"/>
    <x v="5"/>
    <x v="1"/>
    <x v="0"/>
    <x v="93"/>
    <x v="1"/>
    <x v="9"/>
    <x v="24"/>
    <x v="1"/>
    <x v="7"/>
    <x v="1"/>
    <x v="47"/>
    <x v="1"/>
    <x v="6"/>
    <x v="80"/>
    <x v="29"/>
  </r>
  <r>
    <x v="94"/>
    <x v="94"/>
    <x v="24"/>
    <x v="7"/>
    <x v="0"/>
    <x v="1"/>
    <x v="94"/>
    <x v="2"/>
    <x v="6"/>
    <x v="7"/>
    <x v="2"/>
    <x v="2"/>
    <x v="0"/>
    <x v="48"/>
    <x v="2"/>
    <x v="2"/>
    <x v="81"/>
    <x v="32"/>
  </r>
  <r>
    <x v="95"/>
    <x v="95"/>
    <x v="25"/>
    <x v="2"/>
    <x v="1"/>
    <x v="0"/>
    <x v="95"/>
    <x v="0"/>
    <x v="0"/>
    <x v="8"/>
    <x v="3"/>
    <x v="4"/>
    <x v="1"/>
    <x v="49"/>
    <x v="3"/>
    <x v="5"/>
    <x v="82"/>
    <x v="37"/>
  </r>
  <r>
    <x v="96"/>
    <x v="96"/>
    <x v="26"/>
    <x v="14"/>
    <x v="1"/>
    <x v="0"/>
    <x v="96"/>
    <x v="1"/>
    <x v="7"/>
    <x v="9"/>
    <x v="0"/>
    <x v="14"/>
    <x v="0"/>
    <x v="50"/>
    <x v="0"/>
    <x v="31"/>
    <x v="1"/>
    <x v="31"/>
  </r>
  <r>
    <x v="97"/>
    <x v="97"/>
    <x v="11"/>
    <x v="0"/>
    <x v="0"/>
    <x v="0"/>
    <x v="97"/>
    <x v="2"/>
    <x v="5"/>
    <x v="25"/>
    <x v="1"/>
    <x v="3"/>
    <x v="1"/>
    <x v="51"/>
    <x v="1"/>
    <x v="13"/>
    <x v="83"/>
    <x v="22"/>
  </r>
  <r>
    <x v="98"/>
    <x v="98"/>
    <x v="17"/>
    <x v="24"/>
    <x v="1"/>
    <x v="0"/>
    <x v="98"/>
    <x v="0"/>
    <x v="2"/>
    <x v="26"/>
    <x v="2"/>
    <x v="9"/>
    <x v="0"/>
    <x v="52"/>
    <x v="2"/>
    <x v="14"/>
    <x v="84"/>
    <x v="47"/>
  </r>
  <r>
    <x v="99"/>
    <x v="99"/>
    <x v="22"/>
    <x v="7"/>
    <x v="1"/>
    <x v="0"/>
    <x v="99"/>
    <x v="0"/>
    <x v="3"/>
    <x v="27"/>
    <x v="3"/>
    <x v="1"/>
    <x v="1"/>
    <x v="53"/>
    <x v="3"/>
    <x v="20"/>
    <x v="85"/>
    <x v="36"/>
  </r>
  <r>
    <x v="100"/>
    <x v="100"/>
    <x v="4"/>
    <x v="21"/>
    <x v="0"/>
    <x v="0"/>
    <x v="100"/>
    <x v="0"/>
    <x v="8"/>
    <x v="0"/>
    <x v="4"/>
    <x v="14"/>
    <x v="0"/>
    <x v="54"/>
    <x v="4"/>
    <x v="32"/>
    <x v="86"/>
    <x v="30"/>
  </r>
  <r>
    <x v="101"/>
    <x v="101"/>
    <x v="12"/>
    <x v="21"/>
    <x v="1"/>
    <x v="0"/>
    <x v="101"/>
    <x v="1"/>
    <x v="0"/>
    <x v="1"/>
    <x v="0"/>
    <x v="12"/>
    <x v="1"/>
    <x v="55"/>
    <x v="0"/>
    <x v="23"/>
    <x v="87"/>
    <x v="21"/>
  </r>
  <r>
    <x v="102"/>
    <x v="102"/>
    <x v="24"/>
    <x v="24"/>
    <x v="0"/>
    <x v="0"/>
    <x v="102"/>
    <x v="2"/>
    <x v="1"/>
    <x v="13"/>
    <x v="1"/>
    <x v="8"/>
    <x v="0"/>
    <x v="56"/>
    <x v="1"/>
    <x v="27"/>
    <x v="88"/>
    <x v="17"/>
  </r>
  <r>
    <x v="103"/>
    <x v="103"/>
    <x v="25"/>
    <x v="9"/>
    <x v="1"/>
    <x v="0"/>
    <x v="103"/>
    <x v="0"/>
    <x v="1"/>
    <x v="14"/>
    <x v="2"/>
    <x v="9"/>
    <x v="1"/>
    <x v="57"/>
    <x v="2"/>
    <x v="14"/>
    <x v="89"/>
    <x v="54"/>
  </r>
  <r>
    <x v="104"/>
    <x v="104"/>
    <x v="27"/>
    <x v="10"/>
    <x v="0"/>
    <x v="0"/>
    <x v="104"/>
    <x v="1"/>
    <x v="1"/>
    <x v="15"/>
    <x v="3"/>
    <x v="5"/>
    <x v="0"/>
    <x v="58"/>
    <x v="3"/>
    <x v="6"/>
    <x v="90"/>
    <x v="49"/>
  </r>
  <r>
    <x v="105"/>
    <x v="105"/>
    <x v="40"/>
    <x v="0"/>
    <x v="1"/>
    <x v="0"/>
    <x v="105"/>
    <x v="2"/>
    <x v="1"/>
    <x v="16"/>
    <x v="0"/>
    <x v="12"/>
    <x v="1"/>
    <x v="59"/>
    <x v="0"/>
    <x v="23"/>
    <x v="91"/>
    <x v="20"/>
  </r>
  <r>
    <x v="106"/>
    <x v="106"/>
    <x v="28"/>
    <x v="7"/>
    <x v="2"/>
    <x v="0"/>
    <x v="106"/>
    <x v="0"/>
    <x v="2"/>
    <x v="6"/>
    <x v="1"/>
    <x v="1"/>
    <x v="0"/>
    <x v="60"/>
    <x v="1"/>
    <x v="1"/>
    <x v="92"/>
    <x v="41"/>
  </r>
  <r>
    <x v="107"/>
    <x v="107"/>
    <x v="29"/>
    <x v="17"/>
    <x v="0"/>
    <x v="0"/>
    <x v="107"/>
    <x v="1"/>
    <x v="8"/>
    <x v="7"/>
    <x v="2"/>
    <x v="11"/>
    <x v="1"/>
    <x v="61"/>
    <x v="2"/>
    <x v="17"/>
    <x v="93"/>
    <x v="43"/>
  </r>
  <r>
    <x v="108"/>
    <x v="108"/>
    <x v="30"/>
    <x v="3"/>
    <x v="1"/>
    <x v="0"/>
    <x v="108"/>
    <x v="2"/>
    <x v="8"/>
    <x v="8"/>
    <x v="3"/>
    <x v="1"/>
    <x v="0"/>
    <x v="62"/>
    <x v="3"/>
    <x v="20"/>
    <x v="94"/>
    <x v="53"/>
  </r>
  <r>
    <x v="109"/>
    <x v="109"/>
    <x v="31"/>
    <x v="7"/>
    <x v="1"/>
    <x v="0"/>
    <x v="109"/>
    <x v="0"/>
    <x v="8"/>
    <x v="18"/>
    <x v="4"/>
    <x v="8"/>
    <x v="0"/>
    <x v="63"/>
    <x v="4"/>
    <x v="6"/>
    <x v="23"/>
    <x v="30"/>
  </r>
  <r>
    <x v="110"/>
    <x v="110"/>
    <x v="32"/>
    <x v="24"/>
    <x v="0"/>
    <x v="0"/>
    <x v="110"/>
    <x v="1"/>
    <x v="8"/>
    <x v="19"/>
    <x v="5"/>
    <x v="0"/>
    <x v="1"/>
    <x v="64"/>
    <x v="5"/>
    <x v="19"/>
    <x v="95"/>
    <x v="49"/>
  </r>
  <r>
    <x v="111"/>
    <x v="111"/>
    <x v="6"/>
    <x v="22"/>
    <x v="1"/>
    <x v="0"/>
    <x v="111"/>
    <x v="2"/>
    <x v="2"/>
    <x v="20"/>
    <x v="0"/>
    <x v="12"/>
    <x v="1"/>
    <x v="65"/>
    <x v="0"/>
    <x v="23"/>
    <x v="96"/>
    <x v="26"/>
  </r>
  <r>
    <x v="112"/>
    <x v="112"/>
    <x v="16"/>
    <x v="4"/>
    <x v="0"/>
    <x v="0"/>
    <x v="112"/>
    <x v="0"/>
    <x v="1"/>
    <x v="21"/>
    <x v="1"/>
    <x v="14"/>
    <x v="1"/>
    <x v="66"/>
    <x v="1"/>
    <x v="3"/>
    <x v="14"/>
    <x v="21"/>
  </r>
  <r>
    <x v="113"/>
    <x v="113"/>
    <x v="17"/>
    <x v="24"/>
    <x v="1"/>
    <x v="0"/>
    <x v="113"/>
    <x v="1"/>
    <x v="1"/>
    <x v="22"/>
    <x v="2"/>
    <x v="9"/>
    <x v="0"/>
    <x v="67"/>
    <x v="2"/>
    <x v="14"/>
    <x v="97"/>
    <x v="33"/>
  </r>
  <r>
    <x v="114"/>
    <x v="114"/>
    <x v="18"/>
    <x v="21"/>
    <x v="1"/>
    <x v="0"/>
    <x v="114"/>
    <x v="2"/>
    <x v="0"/>
    <x v="23"/>
    <x v="3"/>
    <x v="9"/>
    <x v="0"/>
    <x v="68"/>
    <x v="3"/>
    <x v="9"/>
    <x v="98"/>
    <x v="55"/>
  </r>
  <r>
    <x v="115"/>
    <x v="115"/>
    <x v="9"/>
    <x v="12"/>
    <x v="0"/>
    <x v="0"/>
    <x v="115"/>
    <x v="0"/>
    <x v="2"/>
    <x v="24"/>
    <x v="0"/>
    <x v="0"/>
    <x v="0"/>
    <x v="69"/>
    <x v="0"/>
    <x v="0"/>
    <x v="99"/>
    <x v="20"/>
  </r>
  <r>
    <x v="116"/>
    <x v="116"/>
    <x v="20"/>
    <x v="18"/>
    <x v="1"/>
    <x v="1"/>
    <x v="116"/>
    <x v="1"/>
    <x v="2"/>
    <x v="7"/>
    <x v="1"/>
    <x v="0"/>
    <x v="0"/>
    <x v="70"/>
    <x v="1"/>
    <x v="5"/>
    <x v="100"/>
    <x v="21"/>
  </r>
  <r>
    <x v="117"/>
    <x v="117"/>
    <x v="21"/>
    <x v="10"/>
    <x v="1"/>
    <x v="0"/>
    <x v="117"/>
    <x v="2"/>
    <x v="1"/>
    <x v="8"/>
    <x v="2"/>
    <x v="11"/>
    <x v="0"/>
    <x v="71"/>
    <x v="2"/>
    <x v="17"/>
    <x v="42"/>
    <x v="56"/>
  </r>
  <r>
    <x v="118"/>
    <x v="118"/>
    <x v="22"/>
    <x v="20"/>
    <x v="0"/>
    <x v="0"/>
    <x v="118"/>
    <x v="0"/>
    <x v="2"/>
    <x v="9"/>
    <x v="3"/>
    <x v="9"/>
    <x v="0"/>
    <x v="72"/>
    <x v="3"/>
    <x v="9"/>
    <x v="101"/>
    <x v="57"/>
  </r>
  <r>
    <x v="119"/>
    <x v="119"/>
    <x v="23"/>
    <x v="20"/>
    <x v="1"/>
    <x v="0"/>
    <x v="119"/>
    <x v="1"/>
    <x v="2"/>
    <x v="0"/>
    <x v="4"/>
    <x v="5"/>
    <x v="0"/>
    <x v="73"/>
    <x v="4"/>
    <x v="12"/>
    <x v="102"/>
    <x v="18"/>
  </r>
  <r>
    <x v="120"/>
    <x v="120"/>
    <x v="24"/>
    <x v="5"/>
    <x v="0"/>
    <x v="0"/>
    <x v="120"/>
    <x v="2"/>
    <x v="0"/>
    <x v="1"/>
    <x v="0"/>
    <x v="12"/>
    <x v="0"/>
    <x v="74"/>
    <x v="0"/>
    <x v="23"/>
    <x v="103"/>
    <x v="4"/>
  </r>
  <r>
    <x v="121"/>
    <x v="121"/>
    <x v="25"/>
    <x v="5"/>
    <x v="1"/>
    <x v="0"/>
    <x v="121"/>
    <x v="0"/>
    <x v="0"/>
    <x v="2"/>
    <x v="1"/>
    <x v="4"/>
    <x v="0"/>
    <x v="75"/>
    <x v="1"/>
    <x v="9"/>
    <x v="84"/>
    <x v="29"/>
  </r>
  <r>
    <x v="122"/>
    <x v="122"/>
    <x v="37"/>
    <x v="25"/>
    <x v="0"/>
    <x v="1"/>
    <x v="122"/>
    <x v="1"/>
    <x v="2"/>
    <x v="3"/>
    <x v="2"/>
    <x v="2"/>
    <x v="1"/>
    <x v="76"/>
    <x v="2"/>
    <x v="2"/>
    <x v="104"/>
    <x v="58"/>
  </r>
  <r>
    <x v="123"/>
    <x v="123"/>
    <x v="1"/>
    <x v="22"/>
    <x v="1"/>
    <x v="0"/>
    <x v="123"/>
    <x v="2"/>
    <x v="2"/>
    <x v="4"/>
    <x v="3"/>
    <x v="9"/>
    <x v="0"/>
    <x v="77"/>
    <x v="3"/>
    <x v="9"/>
    <x v="105"/>
    <x v="59"/>
  </r>
  <r>
    <x v="124"/>
    <x v="124"/>
    <x v="2"/>
    <x v="9"/>
    <x v="2"/>
    <x v="0"/>
    <x v="124"/>
    <x v="0"/>
    <x v="1"/>
    <x v="5"/>
    <x v="0"/>
    <x v="2"/>
    <x v="0"/>
    <x v="78"/>
    <x v="0"/>
    <x v="33"/>
    <x v="106"/>
    <x v="5"/>
  </r>
  <r>
    <x v="125"/>
    <x v="125"/>
    <x v="3"/>
    <x v="4"/>
    <x v="0"/>
    <x v="0"/>
    <x v="125"/>
    <x v="1"/>
    <x v="2"/>
    <x v="6"/>
    <x v="1"/>
    <x v="4"/>
    <x v="0"/>
    <x v="79"/>
    <x v="1"/>
    <x v="9"/>
    <x v="107"/>
    <x v="1"/>
  </r>
  <r>
    <x v="126"/>
    <x v="126"/>
    <x v="4"/>
    <x v="18"/>
    <x v="1"/>
    <x v="0"/>
    <x v="126"/>
    <x v="2"/>
    <x v="0"/>
    <x v="7"/>
    <x v="2"/>
    <x v="2"/>
    <x v="0"/>
    <x v="80"/>
    <x v="2"/>
    <x v="2"/>
    <x v="108"/>
    <x v="60"/>
  </r>
  <r>
    <x v="127"/>
    <x v="127"/>
    <x v="5"/>
    <x v="28"/>
    <x v="1"/>
    <x v="0"/>
    <x v="127"/>
    <x v="0"/>
    <x v="1"/>
    <x v="8"/>
    <x v="3"/>
    <x v="9"/>
    <x v="0"/>
    <x v="81"/>
    <x v="3"/>
    <x v="9"/>
    <x v="93"/>
    <x v="57"/>
  </r>
  <r>
    <x v="128"/>
    <x v="128"/>
    <x v="7"/>
    <x v="23"/>
    <x v="0"/>
    <x v="0"/>
    <x v="128"/>
    <x v="1"/>
    <x v="2"/>
    <x v="9"/>
    <x v="4"/>
    <x v="1"/>
    <x v="1"/>
    <x v="82"/>
    <x v="4"/>
    <x v="7"/>
    <x v="109"/>
    <x v="18"/>
  </r>
  <r>
    <x v="129"/>
    <x v="129"/>
    <x v="7"/>
    <x v="22"/>
    <x v="1"/>
    <x v="0"/>
    <x v="129"/>
    <x v="2"/>
    <x v="0"/>
    <x v="10"/>
    <x v="5"/>
    <x v="5"/>
    <x v="0"/>
    <x v="83"/>
    <x v="5"/>
    <x v="34"/>
    <x v="110"/>
    <x v="59"/>
  </r>
  <r>
    <x v="130"/>
    <x v="130"/>
    <x v="8"/>
    <x v="0"/>
    <x v="0"/>
    <x v="0"/>
    <x v="130"/>
    <x v="0"/>
    <x v="2"/>
    <x v="11"/>
    <x v="0"/>
    <x v="5"/>
    <x v="0"/>
    <x v="84"/>
    <x v="0"/>
    <x v="30"/>
    <x v="111"/>
    <x v="42"/>
  </r>
  <r>
    <x v="131"/>
    <x v="131"/>
    <x v="5"/>
    <x v="17"/>
    <x v="1"/>
    <x v="0"/>
    <x v="131"/>
    <x v="1"/>
    <x v="1"/>
    <x v="12"/>
    <x v="1"/>
    <x v="0"/>
    <x v="0"/>
    <x v="85"/>
    <x v="1"/>
    <x v="5"/>
    <x v="112"/>
    <x v="29"/>
  </r>
  <r>
    <x v="132"/>
    <x v="132"/>
    <x v="9"/>
    <x v="17"/>
    <x v="1"/>
    <x v="0"/>
    <x v="132"/>
    <x v="2"/>
    <x v="8"/>
    <x v="13"/>
    <x v="2"/>
    <x v="2"/>
    <x v="1"/>
    <x v="86"/>
    <x v="2"/>
    <x v="2"/>
    <x v="113"/>
    <x v="61"/>
  </r>
  <r>
    <x v="133"/>
    <x v="133"/>
    <x v="10"/>
    <x v="0"/>
    <x v="0"/>
    <x v="0"/>
    <x v="133"/>
    <x v="0"/>
    <x v="1"/>
    <x v="14"/>
    <x v="3"/>
    <x v="9"/>
    <x v="1"/>
    <x v="87"/>
    <x v="3"/>
    <x v="9"/>
    <x v="2"/>
    <x v="37"/>
  </r>
  <r>
    <x v="134"/>
    <x v="134"/>
    <x v="39"/>
    <x v="25"/>
    <x v="1"/>
    <x v="0"/>
    <x v="134"/>
    <x v="1"/>
    <x v="2"/>
    <x v="15"/>
    <x v="0"/>
    <x v="6"/>
    <x v="1"/>
    <x v="88"/>
    <x v="0"/>
    <x v="8"/>
    <x v="114"/>
    <x v="17"/>
  </r>
  <r>
    <x v="135"/>
    <x v="135"/>
    <x v="11"/>
    <x v="8"/>
    <x v="1"/>
    <x v="0"/>
    <x v="135"/>
    <x v="2"/>
    <x v="1"/>
    <x v="16"/>
    <x v="1"/>
    <x v="0"/>
    <x v="1"/>
    <x v="89"/>
    <x v="1"/>
    <x v="5"/>
    <x v="115"/>
    <x v="18"/>
  </r>
  <r>
    <x v="136"/>
    <x v="136"/>
    <x v="5"/>
    <x v="10"/>
    <x v="0"/>
    <x v="0"/>
    <x v="136"/>
    <x v="0"/>
    <x v="0"/>
    <x v="17"/>
    <x v="2"/>
    <x v="11"/>
    <x v="1"/>
    <x v="90"/>
    <x v="2"/>
    <x v="17"/>
    <x v="116"/>
    <x v="62"/>
  </r>
  <r>
    <x v="137"/>
    <x v="137"/>
    <x v="12"/>
    <x v="25"/>
    <x v="1"/>
    <x v="0"/>
    <x v="137"/>
    <x v="1"/>
    <x v="2"/>
    <x v="18"/>
    <x v="3"/>
    <x v="9"/>
    <x v="1"/>
    <x v="91"/>
    <x v="3"/>
    <x v="9"/>
    <x v="117"/>
    <x v="8"/>
  </r>
  <r>
    <x v="138"/>
    <x v="138"/>
    <x v="10"/>
    <x v="14"/>
    <x v="0"/>
    <x v="0"/>
    <x v="138"/>
    <x v="2"/>
    <x v="0"/>
    <x v="19"/>
    <x v="0"/>
    <x v="6"/>
    <x v="0"/>
    <x v="92"/>
    <x v="0"/>
    <x v="8"/>
    <x v="118"/>
    <x v="9"/>
  </r>
  <r>
    <x v="139"/>
    <x v="139"/>
    <x v="4"/>
    <x v="3"/>
    <x v="1"/>
    <x v="0"/>
    <x v="139"/>
    <x v="0"/>
    <x v="0"/>
    <x v="20"/>
    <x v="1"/>
    <x v="1"/>
    <x v="1"/>
    <x v="93"/>
    <x v="1"/>
    <x v="1"/>
    <x v="119"/>
    <x v="63"/>
  </r>
  <r>
    <x v="140"/>
    <x v="140"/>
    <x v="13"/>
    <x v="8"/>
    <x v="0"/>
    <x v="0"/>
    <x v="140"/>
    <x v="1"/>
    <x v="0"/>
    <x v="21"/>
    <x v="2"/>
    <x v="2"/>
    <x v="0"/>
    <x v="94"/>
    <x v="2"/>
    <x v="2"/>
    <x v="120"/>
    <x v="64"/>
  </r>
  <r>
    <x v="141"/>
    <x v="141"/>
    <x v="14"/>
    <x v="29"/>
    <x v="1"/>
    <x v="0"/>
    <x v="141"/>
    <x v="2"/>
    <x v="0"/>
    <x v="22"/>
    <x v="3"/>
    <x v="2"/>
    <x v="1"/>
    <x v="95"/>
    <x v="3"/>
    <x v="15"/>
    <x v="48"/>
    <x v="14"/>
  </r>
  <r>
    <x v="142"/>
    <x v="142"/>
    <x v="15"/>
    <x v="21"/>
    <x v="2"/>
    <x v="0"/>
    <x v="142"/>
    <x v="0"/>
    <x v="0"/>
    <x v="23"/>
    <x v="0"/>
    <x v="4"/>
    <x v="0"/>
    <x v="96"/>
    <x v="0"/>
    <x v="4"/>
    <x v="121"/>
    <x v="31"/>
  </r>
  <r>
    <x v="143"/>
    <x v="143"/>
    <x v="9"/>
    <x v="0"/>
    <x v="0"/>
    <x v="0"/>
    <x v="143"/>
    <x v="1"/>
    <x v="2"/>
    <x v="24"/>
    <x v="1"/>
    <x v="3"/>
    <x v="1"/>
    <x v="97"/>
    <x v="1"/>
    <x v="13"/>
    <x v="122"/>
    <x v="42"/>
  </r>
  <r>
    <x v="144"/>
    <x v="144"/>
    <x v="6"/>
    <x v="12"/>
    <x v="1"/>
    <x v="1"/>
    <x v="144"/>
    <x v="2"/>
    <x v="2"/>
    <x v="25"/>
    <x v="2"/>
    <x v="4"/>
    <x v="0"/>
    <x v="98"/>
    <x v="2"/>
    <x v="35"/>
    <x v="123"/>
    <x v="33"/>
  </r>
  <r>
    <x v="145"/>
    <x v="145"/>
    <x v="18"/>
    <x v="14"/>
    <x v="1"/>
    <x v="0"/>
    <x v="145"/>
    <x v="0"/>
    <x v="1"/>
    <x v="26"/>
    <x v="3"/>
    <x v="3"/>
    <x v="1"/>
    <x v="99"/>
    <x v="3"/>
    <x v="3"/>
    <x v="124"/>
    <x v="65"/>
  </r>
  <r>
    <x v="146"/>
    <x v="146"/>
    <x v="19"/>
    <x v="21"/>
    <x v="0"/>
    <x v="0"/>
    <x v="146"/>
    <x v="1"/>
    <x v="1"/>
    <x v="27"/>
    <x v="4"/>
    <x v="14"/>
    <x v="0"/>
    <x v="100"/>
    <x v="4"/>
    <x v="32"/>
    <x v="125"/>
    <x v="4"/>
  </r>
  <r>
    <x v="147"/>
    <x v="147"/>
    <x v="20"/>
    <x v="7"/>
    <x v="1"/>
    <x v="0"/>
    <x v="147"/>
    <x v="2"/>
    <x v="0"/>
    <x v="0"/>
    <x v="0"/>
    <x v="7"/>
    <x v="1"/>
    <x v="101"/>
    <x v="0"/>
    <x v="10"/>
    <x v="126"/>
    <x v="20"/>
  </r>
  <r>
    <x v="148"/>
    <x v="148"/>
    <x v="21"/>
    <x v="12"/>
    <x v="0"/>
    <x v="0"/>
    <x v="148"/>
    <x v="0"/>
    <x v="2"/>
    <x v="1"/>
    <x v="1"/>
    <x v="7"/>
    <x v="0"/>
    <x v="102"/>
    <x v="1"/>
    <x v="6"/>
    <x v="66"/>
    <x v="9"/>
  </r>
  <r>
    <x v="149"/>
    <x v="149"/>
    <x v="22"/>
    <x v="22"/>
    <x v="1"/>
    <x v="0"/>
    <x v="149"/>
    <x v="0"/>
    <x v="2"/>
    <x v="2"/>
    <x v="2"/>
    <x v="11"/>
    <x v="1"/>
    <x v="103"/>
    <x v="2"/>
    <x v="17"/>
    <x v="127"/>
    <x v="54"/>
  </r>
  <r>
    <x v="150"/>
    <x v="150"/>
    <x v="23"/>
    <x v="19"/>
    <x v="1"/>
    <x v="1"/>
    <x v="150"/>
    <x v="0"/>
    <x v="8"/>
    <x v="3"/>
    <x v="3"/>
    <x v="5"/>
    <x v="0"/>
    <x v="104"/>
    <x v="3"/>
    <x v="6"/>
    <x v="128"/>
    <x v="48"/>
  </r>
  <r>
    <x v="151"/>
    <x v="151"/>
    <x v="24"/>
    <x v="0"/>
    <x v="0"/>
    <x v="0"/>
    <x v="151"/>
    <x v="1"/>
    <x v="2"/>
    <x v="4"/>
    <x v="0"/>
    <x v="2"/>
    <x v="1"/>
    <x v="105"/>
    <x v="0"/>
    <x v="33"/>
    <x v="129"/>
    <x v="42"/>
  </r>
  <r>
    <x v="152"/>
    <x v="152"/>
    <x v="25"/>
    <x v="17"/>
    <x v="1"/>
    <x v="0"/>
    <x v="152"/>
    <x v="2"/>
    <x v="2"/>
    <x v="5"/>
    <x v="1"/>
    <x v="7"/>
    <x v="0"/>
    <x v="106"/>
    <x v="1"/>
    <x v="6"/>
    <x v="130"/>
    <x v="21"/>
  </r>
  <r>
    <x v="153"/>
    <x v="153"/>
    <x v="26"/>
    <x v="25"/>
    <x v="1"/>
    <x v="0"/>
    <x v="153"/>
    <x v="0"/>
    <x v="2"/>
    <x v="6"/>
    <x v="2"/>
    <x v="2"/>
    <x v="1"/>
    <x v="107"/>
    <x v="2"/>
    <x v="2"/>
    <x v="131"/>
    <x v="66"/>
  </r>
  <r>
    <x v="154"/>
    <x v="154"/>
    <x v="11"/>
    <x v="11"/>
    <x v="0"/>
    <x v="0"/>
    <x v="154"/>
    <x v="1"/>
    <x v="2"/>
    <x v="7"/>
    <x v="3"/>
    <x v="3"/>
    <x v="0"/>
    <x v="108"/>
    <x v="3"/>
    <x v="3"/>
    <x v="106"/>
    <x v="33"/>
  </r>
  <r>
    <x v="155"/>
    <x v="155"/>
    <x v="17"/>
    <x v="23"/>
    <x v="1"/>
    <x v="0"/>
    <x v="155"/>
    <x v="2"/>
    <x v="1"/>
    <x v="8"/>
    <x v="4"/>
    <x v="0"/>
    <x v="0"/>
    <x v="109"/>
    <x v="4"/>
    <x v="36"/>
    <x v="132"/>
    <x v="18"/>
  </r>
  <r>
    <x v="156"/>
    <x v="156"/>
    <x v="22"/>
    <x v="28"/>
    <x v="0"/>
    <x v="0"/>
    <x v="156"/>
    <x v="0"/>
    <x v="1"/>
    <x v="9"/>
    <x v="5"/>
    <x v="3"/>
    <x v="1"/>
    <x v="110"/>
    <x v="5"/>
    <x v="11"/>
    <x v="133"/>
    <x v="67"/>
  </r>
  <r>
    <x v="157"/>
    <x v="157"/>
    <x v="4"/>
    <x v="1"/>
    <x v="1"/>
    <x v="0"/>
    <x v="157"/>
    <x v="1"/>
    <x v="0"/>
    <x v="10"/>
    <x v="0"/>
    <x v="6"/>
    <x v="1"/>
    <x v="111"/>
    <x v="0"/>
    <x v="8"/>
    <x v="134"/>
    <x v="15"/>
  </r>
  <r>
    <x v="158"/>
    <x v="158"/>
    <x v="12"/>
    <x v="28"/>
    <x v="0"/>
    <x v="0"/>
    <x v="158"/>
    <x v="2"/>
    <x v="1"/>
    <x v="11"/>
    <x v="1"/>
    <x v="5"/>
    <x v="1"/>
    <x v="112"/>
    <x v="1"/>
    <x v="15"/>
    <x v="135"/>
    <x v="17"/>
  </r>
  <r>
    <x v="159"/>
    <x v="159"/>
    <x v="24"/>
    <x v="24"/>
    <x v="1"/>
    <x v="0"/>
    <x v="159"/>
    <x v="0"/>
    <x v="0"/>
    <x v="12"/>
    <x v="2"/>
    <x v="2"/>
    <x v="0"/>
    <x v="113"/>
    <x v="2"/>
    <x v="2"/>
    <x v="136"/>
    <x v="57"/>
  </r>
  <r>
    <x v="160"/>
    <x v="160"/>
    <x v="25"/>
    <x v="6"/>
    <x v="2"/>
    <x v="0"/>
    <x v="160"/>
    <x v="1"/>
    <x v="8"/>
    <x v="13"/>
    <x v="3"/>
    <x v="4"/>
    <x v="0"/>
    <x v="114"/>
    <x v="3"/>
    <x v="5"/>
    <x v="137"/>
    <x v="55"/>
  </r>
  <r>
    <x v="161"/>
    <x v="161"/>
    <x v="27"/>
    <x v="10"/>
    <x v="0"/>
    <x v="0"/>
    <x v="161"/>
    <x v="2"/>
    <x v="1"/>
    <x v="14"/>
    <x v="0"/>
    <x v="12"/>
    <x v="0"/>
    <x v="115"/>
    <x v="0"/>
    <x v="23"/>
    <x v="138"/>
    <x v="21"/>
  </r>
  <r>
    <x v="162"/>
    <x v="162"/>
    <x v="40"/>
    <x v="14"/>
    <x v="1"/>
    <x v="0"/>
    <x v="162"/>
    <x v="0"/>
    <x v="8"/>
    <x v="15"/>
    <x v="1"/>
    <x v="1"/>
    <x v="0"/>
    <x v="116"/>
    <x v="1"/>
    <x v="1"/>
    <x v="139"/>
    <x v="1"/>
  </r>
  <r>
    <x v="163"/>
    <x v="163"/>
    <x v="28"/>
    <x v="13"/>
    <x v="1"/>
    <x v="0"/>
    <x v="163"/>
    <x v="1"/>
    <x v="0"/>
    <x v="16"/>
    <x v="2"/>
    <x v="9"/>
    <x v="0"/>
    <x v="117"/>
    <x v="2"/>
    <x v="14"/>
    <x v="140"/>
    <x v="68"/>
  </r>
  <r>
    <x v="164"/>
    <x v="164"/>
    <x v="29"/>
    <x v="2"/>
    <x v="0"/>
    <x v="0"/>
    <x v="164"/>
    <x v="2"/>
    <x v="2"/>
    <x v="17"/>
    <x v="3"/>
    <x v="4"/>
    <x v="0"/>
    <x v="118"/>
    <x v="3"/>
    <x v="5"/>
    <x v="141"/>
    <x v="69"/>
  </r>
  <r>
    <x v="165"/>
    <x v="165"/>
    <x v="30"/>
    <x v="7"/>
    <x v="1"/>
    <x v="0"/>
    <x v="165"/>
    <x v="0"/>
    <x v="1"/>
    <x v="18"/>
    <x v="4"/>
    <x v="7"/>
    <x v="0"/>
    <x v="119"/>
    <x v="4"/>
    <x v="31"/>
    <x v="142"/>
    <x v="4"/>
  </r>
  <r>
    <x v="166"/>
    <x v="166"/>
    <x v="9"/>
    <x v="14"/>
    <x v="0"/>
    <x v="0"/>
    <x v="166"/>
    <x v="1"/>
    <x v="1"/>
    <x v="19"/>
    <x v="0"/>
    <x v="12"/>
    <x v="0"/>
    <x v="120"/>
    <x v="0"/>
    <x v="23"/>
    <x v="143"/>
    <x v="30"/>
  </r>
  <r>
    <x v="167"/>
    <x v="167"/>
    <x v="32"/>
    <x v="27"/>
    <x v="1"/>
    <x v="0"/>
    <x v="167"/>
    <x v="2"/>
    <x v="1"/>
    <x v="20"/>
    <x v="1"/>
    <x v="6"/>
    <x v="0"/>
    <x v="121"/>
    <x v="1"/>
    <x v="37"/>
    <x v="144"/>
    <x v="46"/>
  </r>
  <r>
    <x v="168"/>
    <x v="168"/>
    <x v="33"/>
    <x v="13"/>
    <x v="1"/>
    <x v="0"/>
    <x v="168"/>
    <x v="0"/>
    <x v="8"/>
    <x v="21"/>
    <x v="2"/>
    <x v="2"/>
    <x v="1"/>
    <x v="122"/>
    <x v="2"/>
    <x v="2"/>
    <x v="145"/>
    <x v="43"/>
  </r>
  <r>
    <x v="169"/>
    <x v="169"/>
    <x v="34"/>
    <x v="13"/>
    <x v="0"/>
    <x v="0"/>
    <x v="169"/>
    <x v="1"/>
    <x v="1"/>
    <x v="22"/>
    <x v="3"/>
    <x v="2"/>
    <x v="0"/>
    <x v="123"/>
    <x v="3"/>
    <x v="15"/>
    <x v="146"/>
    <x v="49"/>
  </r>
  <r>
    <x v="170"/>
    <x v="170"/>
    <x v="35"/>
    <x v="1"/>
    <x v="1"/>
    <x v="0"/>
    <x v="170"/>
    <x v="2"/>
    <x v="8"/>
    <x v="23"/>
    <x v="0"/>
    <x v="3"/>
    <x v="0"/>
    <x v="124"/>
    <x v="0"/>
    <x v="12"/>
    <x v="45"/>
    <x v="18"/>
  </r>
  <r>
    <x v="171"/>
    <x v="171"/>
    <x v="36"/>
    <x v="27"/>
    <x v="1"/>
    <x v="0"/>
    <x v="171"/>
    <x v="0"/>
    <x v="0"/>
    <x v="24"/>
    <x v="1"/>
    <x v="14"/>
    <x v="0"/>
    <x v="125"/>
    <x v="1"/>
    <x v="3"/>
    <x v="147"/>
    <x v="70"/>
  </r>
  <r>
    <x v="172"/>
    <x v="172"/>
    <x v="37"/>
    <x v="9"/>
    <x v="0"/>
    <x v="1"/>
    <x v="172"/>
    <x v="1"/>
    <x v="8"/>
    <x v="25"/>
    <x v="2"/>
    <x v="2"/>
    <x v="0"/>
    <x v="126"/>
    <x v="2"/>
    <x v="2"/>
    <x v="148"/>
    <x v="71"/>
  </r>
  <r>
    <x v="173"/>
    <x v="173"/>
    <x v="1"/>
    <x v="20"/>
    <x v="1"/>
    <x v="0"/>
    <x v="173"/>
    <x v="2"/>
    <x v="2"/>
    <x v="26"/>
    <x v="3"/>
    <x v="5"/>
    <x v="0"/>
    <x v="127"/>
    <x v="3"/>
    <x v="6"/>
    <x v="149"/>
    <x v="10"/>
  </r>
  <r>
    <x v="174"/>
    <x v="174"/>
    <x v="2"/>
    <x v="10"/>
    <x v="0"/>
    <x v="0"/>
    <x v="174"/>
    <x v="0"/>
    <x v="0"/>
    <x v="27"/>
    <x v="4"/>
    <x v="7"/>
    <x v="1"/>
    <x v="128"/>
    <x v="4"/>
    <x v="31"/>
    <x v="113"/>
    <x v="30"/>
  </r>
  <r>
    <x v="175"/>
    <x v="175"/>
    <x v="3"/>
    <x v="23"/>
    <x v="1"/>
    <x v="0"/>
    <x v="175"/>
    <x v="1"/>
    <x v="0"/>
    <x v="0"/>
    <x v="5"/>
    <x v="1"/>
    <x v="0"/>
    <x v="129"/>
    <x v="5"/>
    <x v="38"/>
    <x v="150"/>
    <x v="49"/>
  </r>
  <r>
    <x v="176"/>
    <x v="176"/>
    <x v="4"/>
    <x v="8"/>
    <x v="0"/>
    <x v="0"/>
    <x v="176"/>
    <x v="2"/>
    <x v="2"/>
    <x v="1"/>
    <x v="0"/>
    <x v="5"/>
    <x v="0"/>
    <x v="130"/>
    <x v="0"/>
    <x v="30"/>
    <x v="151"/>
    <x v="22"/>
  </r>
  <r>
    <x v="177"/>
    <x v="177"/>
    <x v="6"/>
    <x v="3"/>
    <x v="1"/>
    <x v="0"/>
    <x v="177"/>
    <x v="0"/>
    <x v="1"/>
    <x v="13"/>
    <x v="1"/>
    <x v="14"/>
    <x v="0"/>
    <x v="131"/>
    <x v="1"/>
    <x v="3"/>
    <x v="152"/>
    <x v="70"/>
  </r>
  <r>
    <x v="178"/>
    <x v="178"/>
    <x v="7"/>
    <x v="2"/>
    <x v="2"/>
    <x v="1"/>
    <x v="178"/>
    <x v="1"/>
    <x v="8"/>
    <x v="14"/>
    <x v="2"/>
    <x v="2"/>
    <x v="1"/>
    <x v="132"/>
    <x v="2"/>
    <x v="2"/>
    <x v="153"/>
    <x v="23"/>
  </r>
  <r>
    <x v="179"/>
    <x v="179"/>
    <x v="7"/>
    <x v="15"/>
    <x v="0"/>
    <x v="0"/>
    <x v="179"/>
    <x v="2"/>
    <x v="2"/>
    <x v="15"/>
    <x v="3"/>
    <x v="4"/>
    <x v="1"/>
    <x v="133"/>
    <x v="3"/>
    <x v="5"/>
    <x v="95"/>
    <x v="8"/>
  </r>
  <r>
    <x v="180"/>
    <x v="180"/>
    <x v="8"/>
    <x v="20"/>
    <x v="1"/>
    <x v="0"/>
    <x v="180"/>
    <x v="0"/>
    <x v="8"/>
    <x v="16"/>
    <x v="0"/>
    <x v="1"/>
    <x v="1"/>
    <x v="134"/>
    <x v="0"/>
    <x v="21"/>
    <x v="154"/>
    <x v="17"/>
  </r>
  <r>
    <x v="181"/>
    <x v="181"/>
    <x v="38"/>
    <x v="11"/>
    <x v="1"/>
    <x v="0"/>
    <x v="181"/>
    <x v="1"/>
    <x v="1"/>
    <x v="6"/>
    <x v="1"/>
    <x v="3"/>
    <x v="1"/>
    <x v="135"/>
    <x v="1"/>
    <x v="13"/>
    <x v="155"/>
    <x v="29"/>
  </r>
  <r>
    <x v="182"/>
    <x v="182"/>
    <x v="9"/>
    <x v="23"/>
    <x v="0"/>
    <x v="0"/>
    <x v="182"/>
    <x v="2"/>
    <x v="1"/>
    <x v="7"/>
    <x v="2"/>
    <x v="2"/>
    <x v="1"/>
    <x v="136"/>
    <x v="2"/>
    <x v="2"/>
    <x v="24"/>
    <x v="72"/>
  </r>
  <r>
    <x v="183"/>
    <x v="183"/>
    <x v="10"/>
    <x v="7"/>
    <x v="1"/>
    <x v="0"/>
    <x v="183"/>
    <x v="0"/>
    <x v="8"/>
    <x v="8"/>
    <x v="3"/>
    <x v="9"/>
    <x v="1"/>
    <x v="137"/>
    <x v="3"/>
    <x v="9"/>
    <x v="2"/>
    <x v="73"/>
  </r>
  <r>
    <x v="184"/>
    <x v="184"/>
    <x v="39"/>
    <x v="1"/>
    <x v="0"/>
    <x v="0"/>
    <x v="184"/>
    <x v="1"/>
    <x v="0"/>
    <x v="18"/>
    <x v="0"/>
    <x v="4"/>
    <x v="0"/>
    <x v="138"/>
    <x v="0"/>
    <x v="4"/>
    <x v="156"/>
    <x v="3"/>
  </r>
  <r>
    <x v="185"/>
    <x v="185"/>
    <x v="11"/>
    <x v="23"/>
    <x v="1"/>
    <x v="0"/>
    <x v="185"/>
    <x v="2"/>
    <x v="0"/>
    <x v="19"/>
    <x v="1"/>
    <x v="7"/>
    <x v="1"/>
    <x v="139"/>
    <x v="1"/>
    <x v="6"/>
    <x v="157"/>
    <x v="21"/>
  </r>
  <r>
    <x v="186"/>
    <x v="186"/>
    <x v="36"/>
    <x v="6"/>
    <x v="1"/>
    <x v="0"/>
    <x v="186"/>
    <x v="0"/>
    <x v="1"/>
    <x v="20"/>
    <x v="2"/>
    <x v="11"/>
    <x v="0"/>
    <x v="140"/>
    <x v="2"/>
    <x v="17"/>
    <x v="158"/>
    <x v="35"/>
  </r>
  <r>
    <x v="187"/>
    <x v="187"/>
    <x v="37"/>
    <x v="9"/>
    <x v="0"/>
    <x v="0"/>
    <x v="187"/>
    <x v="1"/>
    <x v="8"/>
    <x v="21"/>
    <x v="3"/>
    <x v="4"/>
    <x v="1"/>
    <x v="141"/>
    <x v="3"/>
    <x v="5"/>
    <x v="159"/>
    <x v="3"/>
  </r>
  <r>
    <x v="188"/>
    <x v="188"/>
    <x v="1"/>
    <x v="1"/>
    <x v="1"/>
    <x v="0"/>
    <x v="188"/>
    <x v="2"/>
    <x v="1"/>
    <x v="22"/>
    <x v="0"/>
    <x v="1"/>
    <x v="0"/>
    <x v="142"/>
    <x v="0"/>
    <x v="21"/>
    <x v="160"/>
    <x v="70"/>
  </r>
  <r>
    <x v="189"/>
    <x v="189"/>
    <x v="2"/>
    <x v="14"/>
    <x v="1"/>
    <x v="0"/>
    <x v="189"/>
    <x v="0"/>
    <x v="1"/>
    <x v="23"/>
    <x v="1"/>
    <x v="7"/>
    <x v="1"/>
    <x v="143"/>
    <x v="1"/>
    <x v="6"/>
    <x v="161"/>
    <x v="9"/>
  </r>
  <r>
    <x v="190"/>
    <x v="190"/>
    <x v="3"/>
    <x v="23"/>
    <x v="0"/>
    <x v="0"/>
    <x v="190"/>
    <x v="1"/>
    <x v="2"/>
    <x v="24"/>
    <x v="2"/>
    <x v="9"/>
    <x v="0"/>
    <x v="144"/>
    <x v="2"/>
    <x v="14"/>
    <x v="103"/>
    <x v="74"/>
  </r>
  <r>
    <x v="191"/>
    <x v="191"/>
    <x v="4"/>
    <x v="25"/>
    <x v="1"/>
    <x v="0"/>
    <x v="191"/>
    <x v="2"/>
    <x v="1"/>
    <x v="7"/>
    <x v="3"/>
    <x v="5"/>
    <x v="1"/>
    <x v="145"/>
    <x v="3"/>
    <x v="6"/>
    <x v="162"/>
    <x v="7"/>
  </r>
  <r>
    <x v="192"/>
    <x v="192"/>
    <x v="5"/>
    <x v="24"/>
    <x v="0"/>
    <x v="0"/>
    <x v="192"/>
    <x v="0"/>
    <x v="8"/>
    <x v="8"/>
    <x v="4"/>
    <x v="7"/>
    <x v="0"/>
    <x v="146"/>
    <x v="4"/>
    <x v="31"/>
    <x v="163"/>
    <x v="21"/>
  </r>
  <r>
    <x v="193"/>
    <x v="193"/>
    <x v="7"/>
    <x v="20"/>
    <x v="1"/>
    <x v="0"/>
    <x v="193"/>
    <x v="1"/>
    <x v="1"/>
    <x v="9"/>
    <x v="0"/>
    <x v="5"/>
    <x v="1"/>
    <x v="147"/>
    <x v="0"/>
    <x v="30"/>
    <x v="164"/>
    <x v="1"/>
  </r>
  <r>
    <x v="194"/>
    <x v="194"/>
    <x v="7"/>
    <x v="20"/>
    <x v="0"/>
    <x v="0"/>
    <x v="194"/>
    <x v="2"/>
    <x v="8"/>
    <x v="25"/>
    <x v="1"/>
    <x v="0"/>
    <x v="0"/>
    <x v="148"/>
    <x v="1"/>
    <x v="5"/>
    <x v="37"/>
    <x v="41"/>
  </r>
  <r>
    <x v="195"/>
    <x v="195"/>
    <x v="6"/>
    <x v="23"/>
    <x v="1"/>
    <x v="0"/>
    <x v="195"/>
    <x v="0"/>
    <x v="1"/>
    <x v="26"/>
    <x v="2"/>
    <x v="9"/>
    <x v="1"/>
    <x v="149"/>
    <x v="2"/>
    <x v="14"/>
    <x v="82"/>
    <x v="75"/>
  </r>
  <r>
    <x v="196"/>
    <x v="196"/>
    <x v="5"/>
    <x v="12"/>
    <x v="2"/>
    <x v="0"/>
    <x v="196"/>
    <x v="1"/>
    <x v="0"/>
    <x v="27"/>
    <x v="3"/>
    <x v="4"/>
    <x v="0"/>
    <x v="150"/>
    <x v="3"/>
    <x v="5"/>
    <x v="155"/>
    <x v="5"/>
  </r>
  <r>
    <x v="197"/>
    <x v="197"/>
    <x v="9"/>
    <x v="8"/>
    <x v="0"/>
    <x v="0"/>
    <x v="197"/>
    <x v="2"/>
    <x v="1"/>
    <x v="0"/>
    <x v="0"/>
    <x v="14"/>
    <x v="1"/>
    <x v="151"/>
    <x v="0"/>
    <x v="31"/>
    <x v="165"/>
    <x v="25"/>
  </r>
  <r>
    <x v="198"/>
    <x v="198"/>
    <x v="10"/>
    <x v="0"/>
    <x v="1"/>
    <x v="0"/>
    <x v="198"/>
    <x v="0"/>
    <x v="2"/>
    <x v="1"/>
    <x v="1"/>
    <x v="7"/>
    <x v="0"/>
    <x v="152"/>
    <x v="1"/>
    <x v="6"/>
    <x v="166"/>
    <x v="26"/>
  </r>
  <r>
    <x v="199"/>
    <x v="199"/>
    <x v="39"/>
    <x v="26"/>
    <x v="1"/>
    <x v="0"/>
    <x v="199"/>
    <x v="0"/>
    <x v="8"/>
    <x v="13"/>
    <x v="2"/>
    <x v="4"/>
    <x v="1"/>
    <x v="153"/>
    <x v="2"/>
    <x v="35"/>
    <x v="167"/>
    <x v="74"/>
  </r>
  <r>
    <x v="200"/>
    <x v="200"/>
    <x v="11"/>
    <x v="17"/>
    <x v="0"/>
    <x v="1"/>
    <x v="200"/>
    <x v="0"/>
    <x v="0"/>
    <x v="14"/>
    <x v="3"/>
    <x v="5"/>
    <x v="0"/>
    <x v="154"/>
    <x v="3"/>
    <x v="6"/>
    <x v="168"/>
    <x v="13"/>
  </r>
  <r>
    <x v="201"/>
    <x v="201"/>
    <x v="5"/>
    <x v="14"/>
    <x v="1"/>
    <x v="0"/>
    <x v="201"/>
    <x v="1"/>
    <x v="1"/>
    <x v="15"/>
    <x v="4"/>
    <x v="1"/>
    <x v="0"/>
    <x v="155"/>
    <x v="4"/>
    <x v="7"/>
    <x v="169"/>
    <x v="25"/>
  </r>
  <r>
    <x v="202"/>
    <x v="202"/>
    <x v="12"/>
    <x v="20"/>
    <x v="0"/>
    <x v="0"/>
    <x v="202"/>
    <x v="2"/>
    <x v="2"/>
    <x v="16"/>
    <x v="5"/>
    <x v="1"/>
    <x v="1"/>
    <x v="156"/>
    <x v="5"/>
    <x v="38"/>
    <x v="170"/>
    <x v="0"/>
  </r>
  <r>
    <x v="203"/>
    <x v="203"/>
    <x v="10"/>
    <x v="8"/>
    <x v="1"/>
    <x v="0"/>
    <x v="203"/>
    <x v="0"/>
    <x v="1"/>
    <x v="6"/>
    <x v="0"/>
    <x v="2"/>
    <x v="1"/>
    <x v="157"/>
    <x v="0"/>
    <x v="33"/>
    <x v="171"/>
    <x v="37"/>
  </r>
  <r>
    <x v="204"/>
    <x v="204"/>
    <x v="4"/>
    <x v="20"/>
    <x v="1"/>
    <x v="0"/>
    <x v="204"/>
    <x v="1"/>
    <x v="0"/>
    <x v="7"/>
    <x v="1"/>
    <x v="7"/>
    <x v="1"/>
    <x v="158"/>
    <x v="1"/>
    <x v="6"/>
    <x v="172"/>
    <x v="30"/>
  </r>
  <r>
    <x v="205"/>
    <x v="205"/>
    <x v="13"/>
    <x v="21"/>
    <x v="0"/>
    <x v="0"/>
    <x v="205"/>
    <x v="2"/>
    <x v="8"/>
    <x v="8"/>
    <x v="2"/>
    <x v="9"/>
    <x v="0"/>
    <x v="159"/>
    <x v="2"/>
    <x v="14"/>
    <x v="173"/>
    <x v="61"/>
  </r>
  <r>
    <x v="206"/>
    <x v="206"/>
    <x v="14"/>
    <x v="16"/>
    <x v="1"/>
    <x v="1"/>
    <x v="206"/>
    <x v="0"/>
    <x v="1"/>
    <x v="18"/>
    <x v="3"/>
    <x v="3"/>
    <x v="0"/>
    <x v="160"/>
    <x v="3"/>
    <x v="3"/>
    <x v="174"/>
    <x v="9"/>
  </r>
  <r>
    <x v="207"/>
    <x v="207"/>
    <x v="15"/>
    <x v="3"/>
    <x v="1"/>
    <x v="0"/>
    <x v="207"/>
    <x v="1"/>
    <x v="1"/>
    <x v="19"/>
    <x v="0"/>
    <x v="14"/>
    <x v="0"/>
    <x v="161"/>
    <x v="0"/>
    <x v="31"/>
    <x v="175"/>
    <x v="4"/>
  </r>
  <r>
    <x v="208"/>
    <x v="208"/>
    <x v="16"/>
    <x v="9"/>
    <x v="0"/>
    <x v="0"/>
    <x v="208"/>
    <x v="2"/>
    <x v="1"/>
    <x v="20"/>
    <x v="1"/>
    <x v="14"/>
    <x v="0"/>
    <x v="162"/>
    <x v="1"/>
    <x v="3"/>
    <x v="176"/>
    <x v="25"/>
  </r>
  <r>
    <x v="209"/>
    <x v="209"/>
    <x v="17"/>
    <x v="20"/>
    <x v="1"/>
    <x v="0"/>
    <x v="209"/>
    <x v="0"/>
    <x v="0"/>
    <x v="21"/>
    <x v="2"/>
    <x v="2"/>
    <x v="0"/>
    <x v="163"/>
    <x v="2"/>
    <x v="2"/>
    <x v="177"/>
    <x v="33"/>
  </r>
  <r>
    <x v="210"/>
    <x v="210"/>
    <x v="18"/>
    <x v="21"/>
    <x v="0"/>
    <x v="0"/>
    <x v="210"/>
    <x v="1"/>
    <x v="8"/>
    <x v="22"/>
    <x v="3"/>
    <x v="2"/>
    <x v="0"/>
    <x v="164"/>
    <x v="3"/>
    <x v="15"/>
    <x v="178"/>
    <x v="7"/>
  </r>
  <r>
    <x v="211"/>
    <x v="211"/>
    <x v="19"/>
    <x v="2"/>
    <x v="1"/>
    <x v="0"/>
    <x v="211"/>
    <x v="2"/>
    <x v="1"/>
    <x v="23"/>
    <x v="4"/>
    <x v="1"/>
    <x v="0"/>
    <x v="165"/>
    <x v="4"/>
    <x v="7"/>
    <x v="179"/>
    <x v="15"/>
  </r>
  <r>
    <x v="212"/>
    <x v="212"/>
    <x v="20"/>
    <x v="8"/>
    <x v="0"/>
    <x v="0"/>
    <x v="212"/>
    <x v="0"/>
    <x v="1"/>
    <x v="24"/>
    <x v="0"/>
    <x v="5"/>
    <x v="0"/>
    <x v="166"/>
    <x v="0"/>
    <x v="30"/>
    <x v="180"/>
    <x v="18"/>
  </r>
  <r>
    <x v="213"/>
    <x v="213"/>
    <x v="21"/>
    <x v="16"/>
    <x v="1"/>
    <x v="0"/>
    <x v="213"/>
    <x v="1"/>
    <x v="2"/>
    <x v="7"/>
    <x v="1"/>
    <x v="0"/>
    <x v="0"/>
    <x v="167"/>
    <x v="1"/>
    <x v="5"/>
    <x v="83"/>
    <x v="3"/>
  </r>
  <r>
    <x v="214"/>
    <x v="214"/>
    <x v="22"/>
    <x v="18"/>
    <x v="2"/>
    <x v="0"/>
    <x v="214"/>
    <x v="2"/>
    <x v="2"/>
    <x v="8"/>
    <x v="2"/>
    <x v="9"/>
    <x v="1"/>
    <x v="168"/>
    <x v="2"/>
    <x v="14"/>
    <x v="181"/>
    <x v="27"/>
  </r>
  <r>
    <x v="215"/>
    <x v="215"/>
    <x v="23"/>
    <x v="1"/>
    <x v="0"/>
    <x v="0"/>
    <x v="215"/>
    <x v="0"/>
    <x v="8"/>
    <x v="9"/>
    <x v="3"/>
    <x v="5"/>
    <x v="0"/>
    <x v="169"/>
    <x v="3"/>
    <x v="6"/>
    <x v="182"/>
    <x v="65"/>
  </r>
  <r>
    <x v="216"/>
    <x v="216"/>
    <x v="24"/>
    <x v="0"/>
    <x v="1"/>
    <x v="0"/>
    <x v="216"/>
    <x v="1"/>
    <x v="0"/>
    <x v="25"/>
    <x v="0"/>
    <x v="5"/>
    <x v="0"/>
    <x v="170"/>
    <x v="0"/>
    <x v="30"/>
    <x v="183"/>
    <x v="31"/>
  </r>
  <r>
    <x v="217"/>
    <x v="217"/>
    <x v="25"/>
    <x v="4"/>
    <x v="1"/>
    <x v="0"/>
    <x v="217"/>
    <x v="2"/>
    <x v="0"/>
    <x v="26"/>
    <x v="1"/>
    <x v="4"/>
    <x v="0"/>
    <x v="171"/>
    <x v="1"/>
    <x v="9"/>
    <x v="184"/>
    <x v="21"/>
  </r>
  <r>
    <x v="218"/>
    <x v="218"/>
    <x v="26"/>
    <x v="25"/>
    <x v="0"/>
    <x v="0"/>
    <x v="218"/>
    <x v="0"/>
    <x v="1"/>
    <x v="27"/>
    <x v="2"/>
    <x v="2"/>
    <x v="0"/>
    <x v="172"/>
    <x v="2"/>
    <x v="2"/>
    <x v="185"/>
    <x v="57"/>
  </r>
  <r>
    <x v="219"/>
    <x v="219"/>
    <x v="11"/>
    <x v="29"/>
    <x v="1"/>
    <x v="0"/>
    <x v="219"/>
    <x v="1"/>
    <x v="8"/>
    <x v="0"/>
    <x v="3"/>
    <x v="9"/>
    <x v="0"/>
    <x v="173"/>
    <x v="3"/>
    <x v="9"/>
    <x v="186"/>
    <x v="76"/>
  </r>
  <r>
    <x v="220"/>
    <x v="220"/>
    <x v="17"/>
    <x v="3"/>
    <x v="0"/>
    <x v="0"/>
    <x v="220"/>
    <x v="2"/>
    <x v="1"/>
    <x v="1"/>
    <x v="4"/>
    <x v="6"/>
    <x v="1"/>
    <x v="174"/>
    <x v="4"/>
    <x v="26"/>
    <x v="88"/>
    <x v="3"/>
  </r>
  <r>
    <x v="221"/>
    <x v="221"/>
    <x v="22"/>
    <x v="5"/>
    <x v="1"/>
    <x v="0"/>
    <x v="221"/>
    <x v="0"/>
    <x v="1"/>
    <x v="13"/>
    <x v="5"/>
    <x v="3"/>
    <x v="0"/>
    <x v="175"/>
    <x v="5"/>
    <x v="11"/>
    <x v="187"/>
    <x v="5"/>
  </r>
  <r>
    <x v="222"/>
    <x v="222"/>
    <x v="6"/>
    <x v="0"/>
    <x v="1"/>
    <x v="0"/>
    <x v="222"/>
    <x v="1"/>
    <x v="8"/>
    <x v="14"/>
    <x v="0"/>
    <x v="2"/>
    <x v="0"/>
    <x v="176"/>
    <x v="0"/>
    <x v="33"/>
    <x v="188"/>
    <x v="18"/>
  </r>
  <r>
    <x v="223"/>
    <x v="223"/>
    <x v="12"/>
    <x v="1"/>
    <x v="0"/>
    <x v="0"/>
    <x v="223"/>
    <x v="2"/>
    <x v="1"/>
    <x v="15"/>
    <x v="1"/>
    <x v="1"/>
    <x v="0"/>
    <x v="177"/>
    <x v="1"/>
    <x v="1"/>
    <x v="51"/>
    <x v="20"/>
  </r>
  <r>
    <x v="224"/>
    <x v="224"/>
    <x v="24"/>
    <x v="15"/>
    <x v="1"/>
    <x v="0"/>
    <x v="224"/>
    <x v="0"/>
    <x v="8"/>
    <x v="16"/>
    <x v="2"/>
    <x v="9"/>
    <x v="1"/>
    <x v="178"/>
    <x v="2"/>
    <x v="14"/>
    <x v="103"/>
    <x v="2"/>
  </r>
  <r>
    <x v="225"/>
    <x v="225"/>
    <x v="25"/>
    <x v="22"/>
    <x v="1"/>
    <x v="0"/>
    <x v="225"/>
    <x v="1"/>
    <x v="0"/>
    <x v="6"/>
    <x v="3"/>
    <x v="3"/>
    <x v="1"/>
    <x v="179"/>
    <x v="3"/>
    <x v="3"/>
    <x v="103"/>
    <x v="14"/>
  </r>
  <r>
    <x v="226"/>
    <x v="226"/>
    <x v="27"/>
    <x v="9"/>
    <x v="0"/>
    <x v="0"/>
    <x v="226"/>
    <x v="2"/>
    <x v="8"/>
    <x v="7"/>
    <x v="0"/>
    <x v="1"/>
    <x v="1"/>
    <x v="180"/>
    <x v="0"/>
    <x v="21"/>
    <x v="189"/>
    <x v="1"/>
  </r>
  <r>
    <x v="227"/>
    <x v="227"/>
    <x v="40"/>
    <x v="2"/>
    <x v="1"/>
    <x v="0"/>
    <x v="227"/>
    <x v="0"/>
    <x v="1"/>
    <x v="8"/>
    <x v="1"/>
    <x v="14"/>
    <x v="1"/>
    <x v="181"/>
    <x v="1"/>
    <x v="3"/>
    <x v="190"/>
    <x v="28"/>
  </r>
  <r>
    <x v="228"/>
    <x v="228"/>
    <x v="28"/>
    <x v="7"/>
    <x v="0"/>
    <x v="1"/>
    <x v="228"/>
    <x v="1"/>
    <x v="8"/>
    <x v="18"/>
    <x v="2"/>
    <x v="9"/>
    <x v="1"/>
    <x v="182"/>
    <x v="2"/>
    <x v="14"/>
    <x v="191"/>
    <x v="51"/>
  </r>
  <r>
    <x v="229"/>
    <x v="229"/>
    <x v="29"/>
    <x v="4"/>
    <x v="1"/>
    <x v="0"/>
    <x v="229"/>
    <x v="2"/>
    <x v="8"/>
    <x v="19"/>
    <x v="3"/>
    <x v="9"/>
    <x v="1"/>
    <x v="183"/>
    <x v="3"/>
    <x v="9"/>
    <x v="192"/>
    <x v="14"/>
  </r>
  <r>
    <x v="230"/>
    <x v="230"/>
    <x v="30"/>
    <x v="11"/>
    <x v="0"/>
    <x v="0"/>
    <x v="230"/>
    <x v="0"/>
    <x v="2"/>
    <x v="20"/>
    <x v="0"/>
    <x v="7"/>
    <x v="1"/>
    <x v="184"/>
    <x v="0"/>
    <x v="10"/>
    <x v="193"/>
    <x v="4"/>
  </r>
  <r>
    <x v="231"/>
    <x v="231"/>
    <x v="31"/>
    <x v="17"/>
    <x v="1"/>
    <x v="0"/>
    <x v="231"/>
    <x v="1"/>
    <x v="8"/>
    <x v="21"/>
    <x v="1"/>
    <x v="12"/>
    <x v="0"/>
    <x v="185"/>
    <x v="1"/>
    <x v="28"/>
    <x v="100"/>
    <x v="42"/>
  </r>
  <r>
    <x v="232"/>
    <x v="232"/>
    <x v="32"/>
    <x v="4"/>
    <x v="1"/>
    <x v="0"/>
    <x v="232"/>
    <x v="2"/>
    <x v="0"/>
    <x v="22"/>
    <x v="2"/>
    <x v="9"/>
    <x v="0"/>
    <x v="186"/>
    <x v="2"/>
    <x v="14"/>
    <x v="194"/>
    <x v="77"/>
  </r>
  <r>
    <x v="233"/>
    <x v="233"/>
    <x v="33"/>
    <x v="5"/>
    <x v="0"/>
    <x v="0"/>
    <x v="233"/>
    <x v="0"/>
    <x v="0"/>
    <x v="23"/>
    <x v="3"/>
    <x v="2"/>
    <x v="0"/>
    <x v="187"/>
    <x v="3"/>
    <x v="15"/>
    <x v="195"/>
    <x v="73"/>
  </r>
  <r>
    <x v="234"/>
    <x v="234"/>
    <x v="16"/>
    <x v="22"/>
    <x v="1"/>
    <x v="1"/>
    <x v="234"/>
    <x v="1"/>
    <x v="0"/>
    <x v="24"/>
    <x v="0"/>
    <x v="5"/>
    <x v="1"/>
    <x v="188"/>
    <x v="0"/>
    <x v="30"/>
    <x v="196"/>
    <x v="5"/>
  </r>
  <r>
    <x v="235"/>
    <x v="235"/>
    <x v="17"/>
    <x v="19"/>
    <x v="0"/>
    <x v="0"/>
    <x v="235"/>
    <x v="2"/>
    <x v="8"/>
    <x v="7"/>
    <x v="1"/>
    <x v="0"/>
    <x v="1"/>
    <x v="189"/>
    <x v="1"/>
    <x v="5"/>
    <x v="157"/>
    <x v="21"/>
  </r>
  <r>
    <x v="236"/>
    <x v="236"/>
    <x v="18"/>
    <x v="23"/>
    <x v="1"/>
    <x v="0"/>
    <x v="236"/>
    <x v="0"/>
    <x v="0"/>
    <x v="8"/>
    <x v="2"/>
    <x v="11"/>
    <x v="1"/>
    <x v="190"/>
    <x v="2"/>
    <x v="17"/>
    <x v="197"/>
    <x v="38"/>
  </r>
  <r>
    <x v="237"/>
    <x v="237"/>
    <x v="19"/>
    <x v="8"/>
    <x v="0"/>
    <x v="0"/>
    <x v="237"/>
    <x v="1"/>
    <x v="8"/>
    <x v="9"/>
    <x v="3"/>
    <x v="1"/>
    <x v="1"/>
    <x v="191"/>
    <x v="3"/>
    <x v="20"/>
    <x v="198"/>
    <x v="6"/>
  </r>
  <r>
    <x v="238"/>
    <x v="238"/>
    <x v="20"/>
    <x v="27"/>
    <x v="1"/>
    <x v="0"/>
    <x v="238"/>
    <x v="2"/>
    <x v="0"/>
    <x v="27"/>
    <x v="4"/>
    <x v="12"/>
    <x v="1"/>
    <x v="192"/>
    <x v="4"/>
    <x v="18"/>
    <x v="131"/>
    <x v="31"/>
  </r>
  <r>
    <x v="239"/>
    <x v="239"/>
    <x v="21"/>
    <x v="3"/>
    <x v="2"/>
    <x v="0"/>
    <x v="239"/>
    <x v="0"/>
    <x v="2"/>
    <x v="0"/>
    <x v="0"/>
    <x v="5"/>
    <x v="1"/>
    <x v="193"/>
    <x v="0"/>
    <x v="30"/>
    <x v="129"/>
    <x v="1"/>
  </r>
  <r>
    <x v="240"/>
    <x v="240"/>
    <x v="6"/>
    <x v="13"/>
    <x v="0"/>
    <x v="0"/>
    <x v="240"/>
    <x v="1"/>
    <x v="1"/>
    <x v="1"/>
    <x v="1"/>
    <x v="5"/>
    <x v="1"/>
    <x v="194"/>
    <x v="1"/>
    <x v="15"/>
    <x v="199"/>
    <x v="29"/>
  </r>
  <r>
    <x v="241"/>
    <x v="241"/>
    <x v="23"/>
    <x v="11"/>
    <x v="1"/>
    <x v="0"/>
    <x v="241"/>
    <x v="2"/>
    <x v="8"/>
    <x v="13"/>
    <x v="2"/>
    <x v="9"/>
    <x v="0"/>
    <x v="195"/>
    <x v="2"/>
    <x v="14"/>
    <x v="200"/>
    <x v="45"/>
  </r>
  <r>
    <x v="242"/>
    <x v="242"/>
    <x v="24"/>
    <x v="6"/>
    <x v="1"/>
    <x v="0"/>
    <x v="242"/>
    <x v="0"/>
    <x v="1"/>
    <x v="14"/>
    <x v="3"/>
    <x v="4"/>
    <x v="0"/>
    <x v="196"/>
    <x v="3"/>
    <x v="5"/>
    <x v="145"/>
    <x v="6"/>
  </r>
  <r>
    <x v="243"/>
    <x v="243"/>
    <x v="25"/>
    <x v="18"/>
    <x v="0"/>
    <x v="0"/>
    <x v="243"/>
    <x v="1"/>
    <x v="2"/>
    <x v="15"/>
    <x v="0"/>
    <x v="1"/>
    <x v="0"/>
    <x v="197"/>
    <x v="0"/>
    <x v="21"/>
    <x v="201"/>
    <x v="3"/>
  </r>
  <r>
    <x v="244"/>
    <x v="244"/>
    <x v="37"/>
    <x v="13"/>
    <x v="1"/>
    <x v="0"/>
    <x v="244"/>
    <x v="2"/>
    <x v="0"/>
    <x v="16"/>
    <x v="1"/>
    <x v="8"/>
    <x v="1"/>
    <x v="198"/>
    <x v="1"/>
    <x v="27"/>
    <x v="44"/>
    <x v="42"/>
  </r>
  <r>
    <x v="245"/>
    <x v="245"/>
    <x v="1"/>
    <x v="15"/>
    <x v="0"/>
    <x v="0"/>
    <x v="245"/>
    <x v="0"/>
    <x v="0"/>
    <x v="6"/>
    <x v="2"/>
    <x v="11"/>
    <x v="1"/>
    <x v="199"/>
    <x v="2"/>
    <x v="17"/>
    <x v="117"/>
    <x v="23"/>
  </r>
  <r>
    <x v="246"/>
    <x v="246"/>
    <x v="2"/>
    <x v="2"/>
    <x v="1"/>
    <x v="0"/>
    <x v="246"/>
    <x v="1"/>
    <x v="0"/>
    <x v="7"/>
    <x v="3"/>
    <x v="9"/>
    <x v="1"/>
    <x v="200"/>
    <x v="3"/>
    <x v="9"/>
    <x v="202"/>
    <x v="78"/>
  </r>
  <r>
    <x v="247"/>
    <x v="247"/>
    <x v="3"/>
    <x v="27"/>
    <x v="1"/>
    <x v="0"/>
    <x v="247"/>
    <x v="2"/>
    <x v="0"/>
    <x v="8"/>
    <x v="4"/>
    <x v="14"/>
    <x v="1"/>
    <x v="201"/>
    <x v="4"/>
    <x v="32"/>
    <x v="203"/>
    <x v="46"/>
  </r>
  <r>
    <x v="248"/>
    <x v="248"/>
    <x v="4"/>
    <x v="22"/>
    <x v="0"/>
    <x v="0"/>
    <x v="248"/>
    <x v="0"/>
    <x v="0"/>
    <x v="18"/>
    <x v="5"/>
    <x v="4"/>
    <x v="1"/>
    <x v="202"/>
    <x v="5"/>
    <x v="39"/>
    <x v="204"/>
    <x v="20"/>
  </r>
  <r>
    <x v="249"/>
    <x v="249"/>
    <x v="5"/>
    <x v="4"/>
    <x v="1"/>
    <x v="0"/>
    <x v="249"/>
    <x v="0"/>
    <x v="1"/>
    <x v="19"/>
    <x v="0"/>
    <x v="4"/>
    <x v="1"/>
    <x v="203"/>
    <x v="0"/>
    <x v="4"/>
    <x v="205"/>
    <x v="21"/>
  </r>
  <r>
    <x v="250"/>
    <x v="250"/>
    <x v="37"/>
    <x v="8"/>
    <x v="0"/>
    <x v="0"/>
    <x v="250"/>
    <x v="0"/>
    <x v="0"/>
    <x v="20"/>
    <x v="1"/>
    <x v="1"/>
    <x v="1"/>
    <x v="204"/>
    <x v="1"/>
    <x v="1"/>
    <x v="206"/>
    <x v="50"/>
  </r>
  <r>
    <x v="251"/>
    <x v="251"/>
    <x v="1"/>
    <x v="9"/>
    <x v="1"/>
    <x v="0"/>
    <x v="251"/>
    <x v="1"/>
    <x v="1"/>
    <x v="21"/>
    <x v="2"/>
    <x v="9"/>
    <x v="0"/>
    <x v="205"/>
    <x v="2"/>
    <x v="14"/>
    <x v="69"/>
    <x v="71"/>
  </r>
  <r>
    <x v="252"/>
    <x v="252"/>
    <x v="2"/>
    <x v="6"/>
    <x v="2"/>
    <x v="1"/>
    <x v="252"/>
    <x v="2"/>
    <x v="2"/>
    <x v="22"/>
    <x v="3"/>
    <x v="4"/>
    <x v="0"/>
    <x v="206"/>
    <x v="3"/>
    <x v="5"/>
    <x v="207"/>
    <x v="14"/>
  </r>
  <r>
    <x v="253"/>
    <x v="253"/>
    <x v="3"/>
    <x v="20"/>
    <x v="0"/>
    <x v="0"/>
    <x v="253"/>
    <x v="0"/>
    <x v="3"/>
    <x v="23"/>
    <x v="0"/>
    <x v="12"/>
    <x v="0"/>
    <x v="207"/>
    <x v="0"/>
    <x v="23"/>
    <x v="208"/>
    <x v="25"/>
  </r>
  <r>
    <x v="254"/>
    <x v="254"/>
    <x v="4"/>
    <x v="15"/>
    <x v="1"/>
    <x v="0"/>
    <x v="254"/>
    <x v="1"/>
    <x v="4"/>
    <x v="24"/>
    <x v="1"/>
    <x v="6"/>
    <x v="1"/>
    <x v="208"/>
    <x v="1"/>
    <x v="37"/>
    <x v="209"/>
    <x v="29"/>
  </r>
  <r>
    <x v="255"/>
    <x v="255"/>
    <x v="5"/>
    <x v="11"/>
    <x v="1"/>
    <x v="0"/>
    <x v="255"/>
    <x v="2"/>
    <x v="5"/>
    <x v="7"/>
    <x v="2"/>
    <x v="9"/>
    <x v="1"/>
    <x v="209"/>
    <x v="2"/>
    <x v="14"/>
    <x v="210"/>
    <x v="79"/>
  </r>
  <r>
    <x v="256"/>
    <x v="256"/>
    <x v="7"/>
    <x v="24"/>
    <x v="0"/>
    <x v="0"/>
    <x v="256"/>
    <x v="0"/>
    <x v="6"/>
    <x v="8"/>
    <x v="3"/>
    <x v="3"/>
    <x v="1"/>
    <x v="210"/>
    <x v="3"/>
    <x v="3"/>
    <x v="166"/>
    <x v="49"/>
  </r>
  <r>
    <x v="257"/>
    <x v="257"/>
    <x v="7"/>
    <x v="28"/>
    <x v="1"/>
    <x v="0"/>
    <x v="257"/>
    <x v="1"/>
    <x v="0"/>
    <x v="9"/>
    <x v="4"/>
    <x v="3"/>
    <x v="1"/>
    <x v="211"/>
    <x v="4"/>
    <x v="40"/>
    <x v="171"/>
    <x v="30"/>
  </r>
  <r>
    <x v="258"/>
    <x v="258"/>
    <x v="8"/>
    <x v="15"/>
    <x v="1"/>
    <x v="1"/>
    <x v="258"/>
    <x v="2"/>
    <x v="3"/>
    <x v="22"/>
    <x v="0"/>
    <x v="14"/>
    <x v="1"/>
    <x v="212"/>
    <x v="0"/>
    <x v="31"/>
    <x v="211"/>
    <x v="1"/>
  </r>
  <r>
    <x v="259"/>
    <x v="259"/>
    <x v="5"/>
    <x v="24"/>
    <x v="0"/>
    <x v="0"/>
    <x v="259"/>
    <x v="0"/>
    <x v="0"/>
    <x v="13"/>
    <x v="1"/>
    <x v="2"/>
    <x v="1"/>
    <x v="213"/>
    <x v="1"/>
    <x v="22"/>
    <x v="212"/>
    <x v="1"/>
  </r>
  <r>
    <x v="260"/>
    <x v="260"/>
    <x v="9"/>
    <x v="18"/>
    <x v="1"/>
    <x v="0"/>
    <x v="260"/>
    <x v="1"/>
    <x v="0"/>
    <x v="22"/>
    <x v="2"/>
    <x v="2"/>
    <x v="0"/>
    <x v="214"/>
    <x v="2"/>
    <x v="2"/>
    <x v="213"/>
    <x v="47"/>
  </r>
  <r>
    <x v="261"/>
    <x v="261"/>
    <x v="6"/>
    <x v="7"/>
    <x v="2"/>
    <x v="0"/>
    <x v="261"/>
    <x v="2"/>
    <x v="7"/>
    <x v="13"/>
    <x v="3"/>
    <x v="5"/>
    <x v="1"/>
    <x v="215"/>
    <x v="3"/>
    <x v="6"/>
    <x v="214"/>
    <x v="65"/>
  </r>
  <r>
    <x v="262"/>
    <x v="262"/>
    <x v="39"/>
    <x v="4"/>
    <x v="0"/>
    <x v="0"/>
    <x v="262"/>
    <x v="0"/>
    <x v="4"/>
    <x v="22"/>
    <x v="0"/>
    <x v="6"/>
    <x v="0"/>
    <x v="216"/>
    <x v="0"/>
    <x v="8"/>
    <x v="215"/>
    <x v="8"/>
  </r>
  <r>
    <x v="263"/>
    <x v="263"/>
    <x v="11"/>
    <x v="6"/>
    <x v="1"/>
    <x v="0"/>
    <x v="263"/>
    <x v="1"/>
    <x v="7"/>
    <x v="13"/>
    <x v="1"/>
    <x v="1"/>
    <x v="1"/>
    <x v="217"/>
    <x v="1"/>
    <x v="1"/>
    <x v="216"/>
    <x v="4"/>
  </r>
  <r>
    <x v="264"/>
    <x v="264"/>
    <x v="5"/>
    <x v="1"/>
    <x v="2"/>
    <x v="1"/>
    <x v="264"/>
    <x v="2"/>
    <x v="8"/>
    <x v="22"/>
    <x v="2"/>
    <x v="11"/>
    <x v="0"/>
    <x v="218"/>
    <x v="2"/>
    <x v="17"/>
    <x v="217"/>
    <x v="80"/>
  </r>
  <r>
    <x v="265"/>
    <x v="265"/>
    <x v="12"/>
    <x v="27"/>
    <x v="0"/>
    <x v="0"/>
    <x v="265"/>
    <x v="0"/>
    <x v="7"/>
    <x v="13"/>
    <x v="3"/>
    <x v="2"/>
    <x v="1"/>
    <x v="219"/>
    <x v="3"/>
    <x v="15"/>
    <x v="218"/>
    <x v="33"/>
  </r>
  <r>
    <x v="266"/>
    <x v="266"/>
    <x v="10"/>
    <x v="12"/>
    <x v="1"/>
    <x v="0"/>
    <x v="266"/>
    <x v="1"/>
    <x v="6"/>
    <x v="22"/>
    <x v="4"/>
    <x v="5"/>
    <x v="0"/>
    <x v="220"/>
    <x v="4"/>
    <x v="12"/>
    <x v="219"/>
    <x v="28"/>
  </r>
  <r>
    <x v="267"/>
    <x v="267"/>
    <x v="4"/>
    <x v="24"/>
    <x v="2"/>
    <x v="0"/>
    <x v="267"/>
    <x v="2"/>
    <x v="9"/>
    <x v="13"/>
    <x v="5"/>
    <x v="3"/>
    <x v="1"/>
    <x v="221"/>
    <x v="5"/>
    <x v="11"/>
    <x v="220"/>
    <x v="81"/>
  </r>
  <r>
    <x v="268"/>
    <x v="268"/>
    <x v="13"/>
    <x v="20"/>
    <x v="0"/>
    <x v="0"/>
    <x v="268"/>
    <x v="0"/>
    <x v="6"/>
    <x v="22"/>
    <x v="0"/>
    <x v="0"/>
    <x v="0"/>
    <x v="222"/>
    <x v="0"/>
    <x v="0"/>
    <x v="221"/>
    <x v="52"/>
  </r>
  <r>
    <x v="269"/>
    <x v="269"/>
    <x v="14"/>
    <x v="26"/>
    <x v="1"/>
    <x v="0"/>
    <x v="269"/>
    <x v="1"/>
    <x v="9"/>
    <x v="13"/>
    <x v="1"/>
    <x v="8"/>
    <x v="1"/>
    <x v="223"/>
    <x v="1"/>
    <x v="27"/>
    <x v="222"/>
    <x v="70"/>
  </r>
  <r>
    <x v="270"/>
    <x v="270"/>
    <x v="15"/>
    <x v="24"/>
    <x v="1"/>
    <x v="1"/>
    <x v="270"/>
    <x v="2"/>
    <x v="9"/>
    <x v="22"/>
    <x v="2"/>
    <x v="9"/>
    <x v="0"/>
    <x v="224"/>
    <x v="2"/>
    <x v="14"/>
    <x v="223"/>
    <x v="72"/>
  </r>
  <r>
    <x v="271"/>
    <x v="271"/>
    <x v="16"/>
    <x v="16"/>
    <x v="0"/>
    <x v="0"/>
    <x v="271"/>
    <x v="0"/>
    <x v="7"/>
    <x v="13"/>
    <x v="3"/>
    <x v="5"/>
    <x v="1"/>
    <x v="225"/>
    <x v="3"/>
    <x v="6"/>
    <x v="224"/>
    <x v="59"/>
  </r>
  <r>
    <x v="272"/>
    <x v="272"/>
    <x v="17"/>
    <x v="13"/>
    <x v="1"/>
    <x v="0"/>
    <x v="272"/>
    <x v="1"/>
    <x v="7"/>
    <x v="22"/>
    <x v="0"/>
    <x v="0"/>
    <x v="0"/>
    <x v="226"/>
    <x v="0"/>
    <x v="0"/>
    <x v="38"/>
    <x v="41"/>
  </r>
  <r>
    <x v="273"/>
    <x v="273"/>
    <x v="18"/>
    <x v="26"/>
    <x v="2"/>
    <x v="0"/>
    <x v="273"/>
    <x v="2"/>
    <x v="1"/>
    <x v="13"/>
    <x v="1"/>
    <x v="5"/>
    <x v="1"/>
    <x v="227"/>
    <x v="1"/>
    <x v="15"/>
    <x v="2"/>
    <x v="82"/>
  </r>
  <r>
    <x v="274"/>
    <x v="274"/>
    <x v="19"/>
    <x v="9"/>
    <x v="0"/>
    <x v="0"/>
    <x v="274"/>
    <x v="0"/>
    <x v="5"/>
    <x v="22"/>
    <x v="2"/>
    <x v="2"/>
    <x v="0"/>
    <x v="228"/>
    <x v="2"/>
    <x v="2"/>
    <x v="225"/>
    <x v="48"/>
  </r>
  <r>
    <x v="275"/>
    <x v="275"/>
    <x v="20"/>
    <x v="7"/>
    <x v="1"/>
    <x v="0"/>
    <x v="275"/>
    <x v="1"/>
    <x v="7"/>
    <x v="13"/>
    <x v="0"/>
    <x v="5"/>
    <x v="1"/>
    <x v="229"/>
    <x v="0"/>
    <x v="30"/>
    <x v="226"/>
    <x v="11"/>
  </r>
  <r>
    <x v="276"/>
    <x v="276"/>
    <x v="21"/>
    <x v="15"/>
    <x v="2"/>
    <x v="1"/>
    <x v="276"/>
    <x v="2"/>
    <x v="2"/>
    <x v="22"/>
    <x v="1"/>
    <x v="8"/>
    <x v="0"/>
    <x v="230"/>
    <x v="1"/>
    <x v="27"/>
    <x v="227"/>
    <x v="34"/>
  </r>
  <r>
    <x v="277"/>
    <x v="277"/>
    <x v="22"/>
    <x v="16"/>
    <x v="0"/>
    <x v="0"/>
    <x v="277"/>
    <x v="0"/>
    <x v="4"/>
    <x v="13"/>
    <x v="2"/>
    <x v="11"/>
    <x v="1"/>
    <x v="231"/>
    <x v="2"/>
    <x v="17"/>
    <x v="20"/>
    <x v="16"/>
  </r>
  <r>
    <x v="278"/>
    <x v="278"/>
    <x v="23"/>
    <x v="14"/>
    <x v="1"/>
    <x v="0"/>
    <x v="278"/>
    <x v="1"/>
    <x v="0"/>
    <x v="22"/>
    <x v="3"/>
    <x v="2"/>
    <x v="1"/>
    <x v="232"/>
    <x v="3"/>
    <x v="15"/>
    <x v="228"/>
    <x v="83"/>
  </r>
  <r>
    <x v="279"/>
    <x v="279"/>
    <x v="24"/>
    <x v="5"/>
    <x v="2"/>
    <x v="0"/>
    <x v="279"/>
    <x v="2"/>
    <x v="3"/>
    <x v="13"/>
    <x v="0"/>
    <x v="2"/>
    <x v="1"/>
    <x v="233"/>
    <x v="0"/>
    <x v="33"/>
    <x v="85"/>
    <x v="21"/>
  </r>
  <r>
    <x v="280"/>
    <x v="280"/>
    <x v="25"/>
    <x v="11"/>
    <x v="0"/>
    <x v="0"/>
    <x v="280"/>
    <x v="0"/>
    <x v="1"/>
    <x v="22"/>
    <x v="1"/>
    <x v="10"/>
    <x v="1"/>
    <x v="234"/>
    <x v="1"/>
    <x v="20"/>
    <x v="229"/>
    <x v="21"/>
  </r>
  <r>
    <x v="281"/>
    <x v="281"/>
    <x v="26"/>
    <x v="23"/>
    <x v="1"/>
    <x v="0"/>
    <x v="281"/>
    <x v="1"/>
    <x v="0"/>
    <x v="13"/>
    <x v="2"/>
    <x v="2"/>
    <x v="1"/>
    <x v="235"/>
    <x v="2"/>
    <x v="2"/>
    <x v="230"/>
    <x v="38"/>
  </r>
  <r>
    <x v="282"/>
    <x v="282"/>
    <x v="11"/>
    <x v="2"/>
    <x v="1"/>
    <x v="1"/>
    <x v="282"/>
    <x v="2"/>
    <x v="4"/>
    <x v="22"/>
    <x v="3"/>
    <x v="2"/>
    <x v="0"/>
    <x v="236"/>
    <x v="3"/>
    <x v="15"/>
    <x v="231"/>
    <x v="14"/>
  </r>
  <r>
    <x v="283"/>
    <x v="283"/>
    <x v="17"/>
    <x v="9"/>
    <x v="0"/>
    <x v="0"/>
    <x v="283"/>
    <x v="0"/>
    <x v="0"/>
    <x v="13"/>
    <x v="4"/>
    <x v="8"/>
    <x v="1"/>
    <x v="237"/>
    <x v="4"/>
    <x v="6"/>
    <x v="232"/>
    <x v="34"/>
  </r>
  <r>
    <x v="284"/>
    <x v="284"/>
    <x v="22"/>
    <x v="8"/>
    <x v="1"/>
    <x v="0"/>
    <x v="284"/>
    <x v="1"/>
    <x v="8"/>
    <x v="22"/>
    <x v="0"/>
    <x v="12"/>
    <x v="0"/>
    <x v="238"/>
    <x v="0"/>
    <x v="23"/>
    <x v="233"/>
    <x v="82"/>
  </r>
  <r>
    <x v="285"/>
    <x v="285"/>
    <x v="6"/>
    <x v="10"/>
    <x v="2"/>
    <x v="0"/>
    <x v="285"/>
    <x v="2"/>
    <x v="6"/>
    <x v="13"/>
    <x v="1"/>
    <x v="3"/>
    <x v="1"/>
    <x v="239"/>
    <x v="1"/>
    <x v="13"/>
    <x v="234"/>
    <x v="26"/>
  </r>
  <r>
    <x v="286"/>
    <x v="286"/>
    <x v="12"/>
    <x v="24"/>
    <x v="0"/>
    <x v="0"/>
    <x v="286"/>
    <x v="0"/>
    <x v="6"/>
    <x v="22"/>
    <x v="2"/>
    <x v="2"/>
    <x v="0"/>
    <x v="240"/>
    <x v="2"/>
    <x v="2"/>
    <x v="235"/>
    <x v="27"/>
  </r>
  <r>
    <x v="287"/>
    <x v="287"/>
    <x v="24"/>
    <x v="4"/>
    <x v="1"/>
    <x v="0"/>
    <x v="287"/>
    <x v="1"/>
    <x v="8"/>
    <x v="13"/>
    <x v="3"/>
    <x v="9"/>
    <x v="1"/>
    <x v="241"/>
    <x v="3"/>
    <x v="9"/>
    <x v="39"/>
    <x v="55"/>
  </r>
  <r>
    <x v="288"/>
    <x v="288"/>
    <x v="25"/>
    <x v="26"/>
    <x v="1"/>
    <x v="1"/>
    <x v="288"/>
    <x v="2"/>
    <x v="5"/>
    <x v="22"/>
    <x v="0"/>
    <x v="14"/>
    <x v="0"/>
    <x v="242"/>
    <x v="0"/>
    <x v="31"/>
    <x v="236"/>
    <x v="3"/>
  </r>
  <r>
    <x v="289"/>
    <x v="289"/>
    <x v="27"/>
    <x v="12"/>
    <x v="0"/>
    <x v="0"/>
    <x v="289"/>
    <x v="0"/>
    <x v="1"/>
    <x v="13"/>
    <x v="1"/>
    <x v="7"/>
    <x v="1"/>
    <x v="243"/>
    <x v="1"/>
    <x v="6"/>
    <x v="237"/>
    <x v="15"/>
  </r>
  <r>
    <x v="290"/>
    <x v="290"/>
    <x v="9"/>
    <x v="28"/>
    <x v="1"/>
    <x v="0"/>
    <x v="290"/>
    <x v="1"/>
    <x v="7"/>
    <x v="0"/>
    <x v="2"/>
    <x v="2"/>
    <x v="0"/>
    <x v="244"/>
    <x v="2"/>
    <x v="2"/>
    <x v="33"/>
    <x v="77"/>
  </r>
  <r>
    <x v="291"/>
    <x v="291"/>
    <x v="28"/>
    <x v="4"/>
    <x v="2"/>
    <x v="0"/>
    <x v="291"/>
    <x v="2"/>
    <x v="3"/>
    <x v="1"/>
    <x v="3"/>
    <x v="4"/>
    <x v="1"/>
    <x v="245"/>
    <x v="3"/>
    <x v="5"/>
    <x v="238"/>
    <x v="5"/>
  </r>
  <r>
    <x v="292"/>
    <x v="292"/>
    <x v="29"/>
    <x v="3"/>
    <x v="0"/>
    <x v="0"/>
    <x v="292"/>
    <x v="0"/>
    <x v="3"/>
    <x v="13"/>
    <x v="4"/>
    <x v="6"/>
    <x v="0"/>
    <x v="246"/>
    <x v="4"/>
    <x v="26"/>
    <x v="239"/>
    <x v="18"/>
  </r>
  <r>
    <x v="293"/>
    <x v="293"/>
    <x v="30"/>
    <x v="29"/>
    <x v="1"/>
    <x v="0"/>
    <x v="293"/>
    <x v="1"/>
    <x v="9"/>
    <x v="14"/>
    <x v="5"/>
    <x v="5"/>
    <x v="1"/>
    <x v="247"/>
    <x v="5"/>
    <x v="34"/>
    <x v="148"/>
    <x v="84"/>
  </r>
  <r>
    <x v="294"/>
    <x v="294"/>
    <x v="31"/>
    <x v="29"/>
    <x v="2"/>
    <x v="1"/>
    <x v="294"/>
    <x v="2"/>
    <x v="6"/>
    <x v="15"/>
    <x v="0"/>
    <x v="6"/>
    <x v="0"/>
    <x v="248"/>
    <x v="0"/>
    <x v="8"/>
    <x v="172"/>
    <x v="4"/>
  </r>
  <r>
    <x v="295"/>
    <x v="295"/>
    <x v="32"/>
    <x v="7"/>
    <x v="0"/>
    <x v="0"/>
    <x v="295"/>
    <x v="0"/>
    <x v="0"/>
    <x v="16"/>
    <x v="1"/>
    <x v="14"/>
    <x v="1"/>
    <x v="249"/>
    <x v="1"/>
    <x v="3"/>
    <x v="240"/>
    <x v="15"/>
  </r>
  <r>
    <x v="296"/>
    <x v="296"/>
    <x v="33"/>
    <x v="15"/>
    <x v="1"/>
    <x v="0"/>
    <x v="296"/>
    <x v="1"/>
    <x v="7"/>
    <x v="6"/>
    <x v="2"/>
    <x v="9"/>
    <x v="0"/>
    <x v="250"/>
    <x v="2"/>
    <x v="14"/>
    <x v="241"/>
    <x v="85"/>
  </r>
  <r>
    <x v="297"/>
    <x v="297"/>
    <x v="34"/>
    <x v="4"/>
    <x v="1"/>
    <x v="0"/>
    <x v="297"/>
    <x v="2"/>
    <x v="5"/>
    <x v="7"/>
    <x v="3"/>
    <x v="3"/>
    <x v="1"/>
    <x v="251"/>
    <x v="3"/>
    <x v="3"/>
    <x v="113"/>
    <x v="29"/>
  </r>
  <r>
    <x v="298"/>
    <x v="298"/>
    <x v="35"/>
    <x v="4"/>
    <x v="0"/>
    <x v="0"/>
    <x v="298"/>
    <x v="0"/>
    <x v="2"/>
    <x v="8"/>
    <x v="0"/>
    <x v="4"/>
    <x v="0"/>
    <x v="252"/>
    <x v="0"/>
    <x v="4"/>
    <x v="242"/>
    <x v="46"/>
  </r>
  <r>
    <x v="299"/>
    <x v="299"/>
    <x v="36"/>
    <x v="12"/>
    <x v="1"/>
    <x v="0"/>
    <x v="299"/>
    <x v="0"/>
    <x v="3"/>
    <x v="18"/>
    <x v="1"/>
    <x v="8"/>
    <x v="1"/>
    <x v="253"/>
    <x v="1"/>
    <x v="27"/>
    <x v="243"/>
    <x v="15"/>
  </r>
  <r>
    <x v="300"/>
    <x v="300"/>
    <x v="37"/>
    <x v="22"/>
    <x v="0"/>
    <x v="0"/>
    <x v="300"/>
    <x v="0"/>
    <x v="0"/>
    <x v="19"/>
    <x v="2"/>
    <x v="9"/>
    <x v="1"/>
    <x v="254"/>
    <x v="2"/>
    <x v="14"/>
    <x v="232"/>
    <x v="79"/>
  </r>
  <r>
    <x v="301"/>
    <x v="301"/>
    <x v="1"/>
    <x v="14"/>
    <x v="1"/>
    <x v="0"/>
    <x v="301"/>
    <x v="1"/>
    <x v="1"/>
    <x v="20"/>
    <x v="3"/>
    <x v="2"/>
    <x v="1"/>
    <x v="255"/>
    <x v="3"/>
    <x v="15"/>
    <x v="244"/>
    <x v="27"/>
  </r>
  <r>
    <x v="302"/>
    <x v="302"/>
    <x v="2"/>
    <x v="27"/>
    <x v="2"/>
    <x v="1"/>
    <x v="302"/>
    <x v="2"/>
    <x v="2"/>
    <x v="21"/>
    <x v="4"/>
    <x v="14"/>
    <x v="1"/>
    <x v="256"/>
    <x v="4"/>
    <x v="32"/>
    <x v="111"/>
    <x v="40"/>
  </r>
  <r>
    <x v="303"/>
    <x v="303"/>
    <x v="3"/>
    <x v="20"/>
    <x v="0"/>
    <x v="0"/>
    <x v="303"/>
    <x v="0"/>
    <x v="3"/>
    <x v="22"/>
    <x v="0"/>
    <x v="6"/>
    <x v="1"/>
    <x v="257"/>
    <x v="0"/>
    <x v="8"/>
    <x v="245"/>
    <x v="5"/>
  </r>
  <r>
    <x v="304"/>
    <x v="304"/>
    <x v="4"/>
    <x v="11"/>
    <x v="1"/>
    <x v="0"/>
    <x v="304"/>
    <x v="1"/>
    <x v="4"/>
    <x v="0"/>
    <x v="1"/>
    <x v="0"/>
    <x v="0"/>
    <x v="258"/>
    <x v="1"/>
    <x v="5"/>
    <x v="71"/>
    <x v="21"/>
  </r>
  <r>
    <x v="305"/>
    <x v="305"/>
    <x v="5"/>
    <x v="27"/>
    <x v="1"/>
    <x v="0"/>
    <x v="305"/>
    <x v="2"/>
    <x v="5"/>
    <x v="1"/>
    <x v="2"/>
    <x v="2"/>
    <x v="1"/>
    <x v="259"/>
    <x v="2"/>
    <x v="2"/>
    <x v="246"/>
    <x v="47"/>
  </r>
  <r>
    <x v="306"/>
    <x v="306"/>
    <x v="7"/>
    <x v="2"/>
    <x v="0"/>
    <x v="0"/>
    <x v="306"/>
    <x v="0"/>
    <x v="6"/>
    <x v="13"/>
    <x v="3"/>
    <x v="2"/>
    <x v="0"/>
    <x v="260"/>
    <x v="3"/>
    <x v="15"/>
    <x v="4"/>
    <x v="86"/>
  </r>
  <r>
    <x v="307"/>
    <x v="307"/>
    <x v="7"/>
    <x v="15"/>
    <x v="1"/>
    <x v="0"/>
    <x v="307"/>
    <x v="1"/>
    <x v="0"/>
    <x v="14"/>
    <x v="0"/>
    <x v="3"/>
    <x v="1"/>
    <x v="261"/>
    <x v="0"/>
    <x v="12"/>
    <x v="247"/>
    <x v="25"/>
  </r>
  <r>
    <x v="308"/>
    <x v="308"/>
    <x v="8"/>
    <x v="19"/>
    <x v="0"/>
    <x v="1"/>
    <x v="308"/>
    <x v="2"/>
    <x v="3"/>
    <x v="15"/>
    <x v="1"/>
    <x v="6"/>
    <x v="0"/>
    <x v="262"/>
    <x v="1"/>
    <x v="37"/>
    <x v="248"/>
    <x v="46"/>
  </r>
  <r>
    <x v="309"/>
    <x v="309"/>
    <x v="38"/>
    <x v="2"/>
    <x v="1"/>
    <x v="0"/>
    <x v="309"/>
    <x v="0"/>
    <x v="0"/>
    <x v="16"/>
    <x v="2"/>
    <x v="11"/>
    <x v="1"/>
    <x v="263"/>
    <x v="2"/>
    <x v="17"/>
    <x v="249"/>
    <x v="47"/>
  </r>
  <r>
    <x v="310"/>
    <x v="310"/>
    <x v="9"/>
    <x v="28"/>
    <x v="1"/>
    <x v="0"/>
    <x v="310"/>
    <x v="1"/>
    <x v="0"/>
    <x v="6"/>
    <x v="3"/>
    <x v="4"/>
    <x v="0"/>
    <x v="264"/>
    <x v="3"/>
    <x v="5"/>
    <x v="250"/>
    <x v="73"/>
  </r>
  <r>
    <x v="311"/>
    <x v="311"/>
    <x v="10"/>
    <x v="17"/>
    <x v="0"/>
    <x v="0"/>
    <x v="311"/>
    <x v="2"/>
    <x v="7"/>
    <x v="7"/>
    <x v="4"/>
    <x v="5"/>
    <x v="1"/>
    <x v="265"/>
    <x v="4"/>
    <x v="12"/>
    <x v="15"/>
    <x v="34"/>
  </r>
  <r>
    <x v="312"/>
    <x v="312"/>
    <x v="39"/>
    <x v="14"/>
    <x v="1"/>
    <x v="0"/>
    <x v="312"/>
    <x v="0"/>
    <x v="4"/>
    <x v="8"/>
    <x v="5"/>
    <x v="4"/>
    <x v="0"/>
    <x v="266"/>
    <x v="5"/>
    <x v="39"/>
    <x v="34"/>
    <x v="65"/>
  </r>
  <r>
    <x v="313"/>
    <x v="313"/>
    <x v="11"/>
    <x v="12"/>
    <x v="1"/>
    <x v="0"/>
    <x v="313"/>
    <x v="1"/>
    <x v="7"/>
    <x v="18"/>
    <x v="0"/>
    <x v="0"/>
    <x v="1"/>
    <x v="267"/>
    <x v="0"/>
    <x v="0"/>
    <x v="251"/>
    <x v="17"/>
  </r>
  <r>
    <x v="314"/>
    <x v="314"/>
    <x v="36"/>
    <x v="18"/>
    <x v="0"/>
    <x v="1"/>
    <x v="314"/>
    <x v="2"/>
    <x v="8"/>
    <x v="19"/>
    <x v="1"/>
    <x v="0"/>
    <x v="0"/>
    <x v="268"/>
    <x v="1"/>
    <x v="5"/>
    <x v="252"/>
    <x v="29"/>
  </r>
  <r>
    <x v="315"/>
    <x v="315"/>
    <x v="37"/>
    <x v="26"/>
    <x v="1"/>
    <x v="0"/>
    <x v="315"/>
    <x v="0"/>
    <x v="7"/>
    <x v="20"/>
    <x v="2"/>
    <x v="9"/>
    <x v="1"/>
    <x v="269"/>
    <x v="2"/>
    <x v="14"/>
    <x v="253"/>
    <x v="80"/>
  </r>
  <r>
    <x v="316"/>
    <x v="316"/>
    <x v="1"/>
    <x v="25"/>
    <x v="0"/>
    <x v="0"/>
    <x v="316"/>
    <x v="1"/>
    <x v="6"/>
    <x v="21"/>
    <x v="3"/>
    <x v="1"/>
    <x v="0"/>
    <x v="270"/>
    <x v="3"/>
    <x v="20"/>
    <x v="254"/>
    <x v="87"/>
  </r>
  <r>
    <x v="317"/>
    <x v="317"/>
    <x v="2"/>
    <x v="14"/>
    <x v="1"/>
    <x v="0"/>
    <x v="317"/>
    <x v="2"/>
    <x v="9"/>
    <x v="22"/>
    <x v="0"/>
    <x v="1"/>
    <x v="1"/>
    <x v="271"/>
    <x v="0"/>
    <x v="21"/>
    <x v="87"/>
    <x v="41"/>
  </r>
  <r>
    <x v="318"/>
    <x v="318"/>
    <x v="3"/>
    <x v="20"/>
    <x v="0"/>
    <x v="0"/>
    <x v="318"/>
    <x v="0"/>
    <x v="6"/>
    <x v="0"/>
    <x v="1"/>
    <x v="4"/>
    <x v="0"/>
    <x v="272"/>
    <x v="1"/>
    <x v="9"/>
    <x v="255"/>
    <x v="25"/>
  </r>
  <r>
    <x v="319"/>
    <x v="319"/>
    <x v="4"/>
    <x v="22"/>
    <x v="1"/>
    <x v="0"/>
    <x v="319"/>
    <x v="1"/>
    <x v="9"/>
    <x v="1"/>
    <x v="2"/>
    <x v="9"/>
    <x v="1"/>
    <x v="273"/>
    <x v="2"/>
    <x v="14"/>
    <x v="241"/>
    <x v="58"/>
  </r>
  <r>
    <x v="320"/>
    <x v="320"/>
    <x v="5"/>
    <x v="12"/>
    <x v="2"/>
    <x v="1"/>
    <x v="320"/>
    <x v="2"/>
    <x v="9"/>
    <x v="13"/>
    <x v="3"/>
    <x v="9"/>
    <x v="0"/>
    <x v="274"/>
    <x v="3"/>
    <x v="9"/>
    <x v="188"/>
    <x v="33"/>
  </r>
  <r>
    <x v="321"/>
    <x v="321"/>
    <x v="7"/>
    <x v="9"/>
    <x v="0"/>
    <x v="0"/>
    <x v="321"/>
    <x v="0"/>
    <x v="7"/>
    <x v="14"/>
    <x v="0"/>
    <x v="6"/>
    <x v="1"/>
    <x v="275"/>
    <x v="0"/>
    <x v="8"/>
    <x v="256"/>
    <x v="26"/>
  </r>
  <r>
    <x v="322"/>
    <x v="322"/>
    <x v="7"/>
    <x v="4"/>
    <x v="1"/>
    <x v="0"/>
    <x v="322"/>
    <x v="1"/>
    <x v="7"/>
    <x v="15"/>
    <x v="1"/>
    <x v="6"/>
    <x v="1"/>
    <x v="276"/>
    <x v="1"/>
    <x v="37"/>
    <x v="159"/>
    <x v="41"/>
  </r>
  <r>
    <x v="323"/>
    <x v="323"/>
    <x v="8"/>
    <x v="12"/>
    <x v="1"/>
    <x v="0"/>
    <x v="323"/>
    <x v="2"/>
    <x v="1"/>
    <x v="16"/>
    <x v="2"/>
    <x v="9"/>
    <x v="1"/>
    <x v="277"/>
    <x v="2"/>
    <x v="14"/>
    <x v="257"/>
    <x v="48"/>
  </r>
  <r>
    <x v="324"/>
    <x v="324"/>
    <x v="5"/>
    <x v="15"/>
    <x v="0"/>
    <x v="0"/>
    <x v="324"/>
    <x v="0"/>
    <x v="5"/>
    <x v="6"/>
    <x v="3"/>
    <x v="4"/>
    <x v="1"/>
    <x v="278"/>
    <x v="3"/>
    <x v="5"/>
    <x v="258"/>
    <x v="53"/>
  </r>
  <r>
    <x v="325"/>
    <x v="325"/>
    <x v="9"/>
    <x v="21"/>
    <x v="1"/>
    <x v="0"/>
    <x v="325"/>
    <x v="1"/>
    <x v="7"/>
    <x v="7"/>
    <x v="0"/>
    <x v="0"/>
    <x v="1"/>
    <x v="279"/>
    <x v="0"/>
    <x v="0"/>
    <x v="259"/>
    <x v="21"/>
  </r>
  <r>
    <x v="326"/>
    <x v="326"/>
    <x v="10"/>
    <x v="24"/>
    <x v="0"/>
    <x v="1"/>
    <x v="326"/>
    <x v="2"/>
    <x v="2"/>
    <x v="8"/>
    <x v="1"/>
    <x v="0"/>
    <x v="0"/>
    <x v="280"/>
    <x v="1"/>
    <x v="5"/>
    <x v="260"/>
    <x v="82"/>
  </r>
  <r>
    <x v="327"/>
    <x v="327"/>
    <x v="39"/>
    <x v="20"/>
    <x v="1"/>
    <x v="0"/>
    <x v="327"/>
    <x v="0"/>
    <x v="4"/>
    <x v="18"/>
    <x v="2"/>
    <x v="4"/>
    <x v="1"/>
    <x v="281"/>
    <x v="2"/>
    <x v="35"/>
    <x v="261"/>
    <x v="66"/>
  </r>
  <r>
    <x v="328"/>
    <x v="328"/>
    <x v="11"/>
    <x v="9"/>
    <x v="1"/>
    <x v="0"/>
    <x v="328"/>
    <x v="1"/>
    <x v="0"/>
    <x v="19"/>
    <x v="3"/>
    <x v="9"/>
    <x v="0"/>
    <x v="282"/>
    <x v="3"/>
    <x v="9"/>
    <x v="262"/>
    <x v="88"/>
  </r>
  <r>
    <x v="329"/>
    <x v="329"/>
    <x v="5"/>
    <x v="2"/>
    <x v="0"/>
    <x v="0"/>
    <x v="329"/>
    <x v="2"/>
    <x v="3"/>
    <x v="20"/>
    <x v="4"/>
    <x v="14"/>
    <x v="1"/>
    <x v="283"/>
    <x v="4"/>
    <x v="32"/>
    <x v="263"/>
    <x v="41"/>
  </r>
  <r>
    <x v="330"/>
    <x v="330"/>
    <x v="12"/>
    <x v="17"/>
    <x v="1"/>
    <x v="0"/>
    <x v="330"/>
    <x v="0"/>
    <x v="1"/>
    <x v="21"/>
    <x v="0"/>
    <x v="3"/>
    <x v="0"/>
    <x v="284"/>
    <x v="0"/>
    <x v="12"/>
    <x v="263"/>
    <x v="46"/>
  </r>
  <r>
    <x v="331"/>
    <x v="331"/>
    <x v="10"/>
    <x v="27"/>
    <x v="1"/>
    <x v="0"/>
    <x v="331"/>
    <x v="1"/>
    <x v="0"/>
    <x v="22"/>
    <x v="1"/>
    <x v="1"/>
    <x v="1"/>
    <x v="285"/>
    <x v="1"/>
    <x v="1"/>
    <x v="201"/>
    <x v="11"/>
  </r>
  <r>
    <x v="332"/>
    <x v="332"/>
    <x v="4"/>
    <x v="19"/>
    <x v="0"/>
    <x v="1"/>
    <x v="332"/>
    <x v="2"/>
    <x v="4"/>
    <x v="0"/>
    <x v="2"/>
    <x v="9"/>
    <x v="0"/>
    <x v="286"/>
    <x v="2"/>
    <x v="14"/>
    <x v="264"/>
    <x v="6"/>
  </r>
  <r>
    <x v="333"/>
    <x v="333"/>
    <x v="9"/>
    <x v="26"/>
    <x v="1"/>
    <x v="0"/>
    <x v="333"/>
    <x v="0"/>
    <x v="0"/>
    <x v="1"/>
    <x v="3"/>
    <x v="3"/>
    <x v="1"/>
    <x v="287"/>
    <x v="3"/>
    <x v="3"/>
    <x v="265"/>
    <x v="78"/>
  </r>
  <r>
    <x v="334"/>
    <x v="334"/>
    <x v="14"/>
    <x v="9"/>
    <x v="0"/>
    <x v="0"/>
    <x v="334"/>
    <x v="1"/>
    <x v="8"/>
    <x v="2"/>
    <x v="0"/>
    <x v="7"/>
    <x v="0"/>
    <x v="288"/>
    <x v="0"/>
    <x v="10"/>
    <x v="168"/>
    <x v="5"/>
  </r>
  <r>
    <x v="335"/>
    <x v="335"/>
    <x v="15"/>
    <x v="13"/>
    <x v="1"/>
    <x v="0"/>
    <x v="335"/>
    <x v="2"/>
    <x v="6"/>
    <x v="3"/>
    <x v="1"/>
    <x v="6"/>
    <x v="1"/>
    <x v="289"/>
    <x v="1"/>
    <x v="37"/>
    <x v="266"/>
    <x v="18"/>
  </r>
  <r>
    <x v="336"/>
    <x v="336"/>
    <x v="16"/>
    <x v="4"/>
    <x v="0"/>
    <x v="0"/>
    <x v="336"/>
    <x v="0"/>
    <x v="6"/>
    <x v="4"/>
    <x v="2"/>
    <x v="4"/>
    <x v="0"/>
    <x v="290"/>
    <x v="2"/>
    <x v="35"/>
    <x v="267"/>
    <x v="38"/>
  </r>
  <r>
    <x v="337"/>
    <x v="337"/>
    <x v="17"/>
    <x v="10"/>
    <x v="1"/>
    <x v="0"/>
    <x v="337"/>
    <x v="1"/>
    <x v="8"/>
    <x v="5"/>
    <x v="3"/>
    <x v="4"/>
    <x v="1"/>
    <x v="291"/>
    <x v="3"/>
    <x v="5"/>
    <x v="268"/>
    <x v="5"/>
  </r>
  <r>
    <x v="338"/>
    <x v="338"/>
    <x v="18"/>
    <x v="5"/>
    <x v="2"/>
    <x v="1"/>
    <x v="338"/>
    <x v="2"/>
    <x v="5"/>
    <x v="6"/>
    <x v="4"/>
    <x v="5"/>
    <x v="0"/>
    <x v="292"/>
    <x v="4"/>
    <x v="12"/>
    <x v="164"/>
    <x v="20"/>
  </r>
  <r>
    <x v="339"/>
    <x v="339"/>
    <x v="19"/>
    <x v="23"/>
    <x v="0"/>
    <x v="0"/>
    <x v="339"/>
    <x v="0"/>
    <x v="1"/>
    <x v="7"/>
    <x v="5"/>
    <x v="1"/>
    <x v="1"/>
    <x v="293"/>
    <x v="5"/>
    <x v="38"/>
    <x v="269"/>
    <x v="76"/>
  </r>
  <r>
    <x v="340"/>
    <x v="340"/>
    <x v="20"/>
    <x v="2"/>
    <x v="1"/>
    <x v="0"/>
    <x v="340"/>
    <x v="1"/>
    <x v="7"/>
    <x v="8"/>
    <x v="0"/>
    <x v="2"/>
    <x v="0"/>
    <x v="294"/>
    <x v="0"/>
    <x v="33"/>
    <x v="270"/>
    <x v="0"/>
  </r>
  <r>
    <x v="341"/>
    <x v="341"/>
    <x v="21"/>
    <x v="0"/>
    <x v="1"/>
    <x v="0"/>
    <x v="341"/>
    <x v="2"/>
    <x v="3"/>
    <x v="9"/>
    <x v="1"/>
    <x v="4"/>
    <x v="1"/>
    <x v="295"/>
    <x v="1"/>
    <x v="9"/>
    <x v="271"/>
    <x v="28"/>
  </r>
  <r>
    <x v="342"/>
    <x v="342"/>
    <x v="22"/>
    <x v="13"/>
    <x v="0"/>
    <x v="0"/>
    <x v="342"/>
    <x v="0"/>
    <x v="3"/>
    <x v="10"/>
    <x v="2"/>
    <x v="11"/>
    <x v="0"/>
    <x v="296"/>
    <x v="2"/>
    <x v="17"/>
    <x v="195"/>
    <x v="57"/>
  </r>
  <r>
    <x v="343"/>
    <x v="343"/>
    <x v="23"/>
    <x v="23"/>
    <x v="1"/>
    <x v="0"/>
    <x v="343"/>
    <x v="1"/>
    <x v="9"/>
    <x v="11"/>
    <x v="3"/>
    <x v="5"/>
    <x v="1"/>
    <x v="297"/>
    <x v="3"/>
    <x v="6"/>
    <x v="272"/>
    <x v="29"/>
  </r>
  <r>
    <x v="344"/>
    <x v="344"/>
    <x v="24"/>
    <x v="22"/>
    <x v="0"/>
    <x v="1"/>
    <x v="344"/>
    <x v="2"/>
    <x v="6"/>
    <x v="12"/>
    <x v="0"/>
    <x v="14"/>
    <x v="1"/>
    <x v="298"/>
    <x v="0"/>
    <x v="31"/>
    <x v="135"/>
    <x v="34"/>
  </r>
  <r>
    <x v="345"/>
    <x v="345"/>
    <x v="6"/>
    <x v="27"/>
    <x v="1"/>
    <x v="0"/>
    <x v="345"/>
    <x v="0"/>
    <x v="0"/>
    <x v="0"/>
    <x v="1"/>
    <x v="4"/>
    <x v="1"/>
    <x v="299"/>
    <x v="1"/>
    <x v="9"/>
    <x v="273"/>
    <x v="22"/>
  </r>
  <r>
    <x v="346"/>
    <x v="346"/>
    <x v="26"/>
    <x v="20"/>
    <x v="1"/>
    <x v="0"/>
    <x v="346"/>
    <x v="1"/>
    <x v="7"/>
    <x v="1"/>
    <x v="2"/>
    <x v="9"/>
    <x v="1"/>
    <x v="300"/>
    <x v="2"/>
    <x v="14"/>
    <x v="274"/>
    <x v="45"/>
  </r>
  <r>
    <x v="347"/>
    <x v="347"/>
    <x v="11"/>
    <x v="4"/>
    <x v="0"/>
    <x v="0"/>
    <x v="347"/>
    <x v="2"/>
    <x v="5"/>
    <x v="2"/>
    <x v="3"/>
    <x v="1"/>
    <x v="1"/>
    <x v="301"/>
    <x v="3"/>
    <x v="20"/>
    <x v="275"/>
    <x v="83"/>
  </r>
  <r>
    <x v="348"/>
    <x v="348"/>
    <x v="17"/>
    <x v="8"/>
    <x v="1"/>
    <x v="0"/>
    <x v="348"/>
    <x v="0"/>
    <x v="2"/>
    <x v="3"/>
    <x v="4"/>
    <x v="12"/>
    <x v="0"/>
    <x v="302"/>
    <x v="4"/>
    <x v="18"/>
    <x v="276"/>
    <x v="9"/>
  </r>
  <r>
    <x v="349"/>
    <x v="349"/>
    <x v="22"/>
    <x v="25"/>
    <x v="1"/>
    <x v="0"/>
    <x v="349"/>
    <x v="0"/>
    <x v="3"/>
    <x v="4"/>
    <x v="0"/>
    <x v="0"/>
    <x v="1"/>
    <x v="303"/>
    <x v="0"/>
    <x v="0"/>
    <x v="146"/>
    <x v="21"/>
  </r>
  <r>
    <x v="350"/>
    <x v="350"/>
    <x v="4"/>
    <x v="7"/>
    <x v="0"/>
    <x v="0"/>
    <x v="350"/>
    <x v="0"/>
    <x v="8"/>
    <x v="5"/>
    <x v="1"/>
    <x v="12"/>
    <x v="0"/>
    <x v="304"/>
    <x v="1"/>
    <x v="28"/>
    <x v="75"/>
    <x v="9"/>
  </r>
  <r>
    <x v="351"/>
    <x v="351"/>
    <x v="12"/>
    <x v="23"/>
    <x v="1"/>
    <x v="0"/>
    <x v="351"/>
    <x v="1"/>
    <x v="0"/>
    <x v="6"/>
    <x v="2"/>
    <x v="4"/>
    <x v="1"/>
    <x v="305"/>
    <x v="2"/>
    <x v="35"/>
    <x v="277"/>
    <x v="16"/>
  </r>
  <r>
    <x v="352"/>
    <x v="352"/>
    <x v="24"/>
    <x v="2"/>
    <x v="0"/>
    <x v="0"/>
    <x v="352"/>
    <x v="2"/>
    <x v="1"/>
    <x v="7"/>
    <x v="3"/>
    <x v="1"/>
    <x v="0"/>
    <x v="306"/>
    <x v="3"/>
    <x v="20"/>
    <x v="278"/>
    <x v="78"/>
  </r>
  <r>
    <x v="353"/>
    <x v="353"/>
    <x v="25"/>
    <x v="3"/>
    <x v="1"/>
    <x v="0"/>
    <x v="353"/>
    <x v="0"/>
    <x v="1"/>
    <x v="8"/>
    <x v="0"/>
    <x v="4"/>
    <x v="1"/>
    <x v="307"/>
    <x v="0"/>
    <x v="4"/>
    <x v="109"/>
    <x v="70"/>
  </r>
  <r>
    <x v="354"/>
    <x v="354"/>
    <x v="27"/>
    <x v="19"/>
    <x v="0"/>
    <x v="0"/>
    <x v="354"/>
    <x v="1"/>
    <x v="1"/>
    <x v="9"/>
    <x v="1"/>
    <x v="3"/>
    <x v="0"/>
    <x v="308"/>
    <x v="1"/>
    <x v="13"/>
    <x v="279"/>
    <x v="82"/>
  </r>
  <r>
    <x v="355"/>
    <x v="355"/>
    <x v="40"/>
    <x v="9"/>
    <x v="1"/>
    <x v="0"/>
    <x v="355"/>
    <x v="2"/>
    <x v="1"/>
    <x v="10"/>
    <x v="2"/>
    <x v="11"/>
    <x v="1"/>
    <x v="309"/>
    <x v="2"/>
    <x v="17"/>
    <x v="169"/>
    <x v="2"/>
  </r>
  <r>
    <x v="356"/>
    <x v="356"/>
    <x v="28"/>
    <x v="22"/>
    <x v="2"/>
    <x v="0"/>
    <x v="356"/>
    <x v="0"/>
    <x v="2"/>
    <x v="11"/>
    <x v="3"/>
    <x v="9"/>
    <x v="0"/>
    <x v="310"/>
    <x v="3"/>
    <x v="9"/>
    <x v="171"/>
    <x v="7"/>
  </r>
  <r>
    <x v="357"/>
    <x v="357"/>
    <x v="29"/>
    <x v="22"/>
    <x v="0"/>
    <x v="0"/>
    <x v="357"/>
    <x v="1"/>
    <x v="8"/>
    <x v="12"/>
    <x v="4"/>
    <x v="10"/>
    <x v="1"/>
    <x v="311"/>
    <x v="4"/>
    <x v="16"/>
    <x v="280"/>
    <x v="82"/>
  </r>
  <r>
    <x v="358"/>
    <x v="358"/>
    <x v="30"/>
    <x v="23"/>
    <x v="1"/>
    <x v="0"/>
    <x v="358"/>
    <x v="2"/>
    <x v="8"/>
    <x v="0"/>
    <x v="5"/>
    <x v="6"/>
    <x v="0"/>
    <x v="312"/>
    <x v="5"/>
    <x v="25"/>
    <x v="281"/>
    <x v="82"/>
  </r>
  <r>
    <x v="359"/>
    <x v="359"/>
    <x v="31"/>
    <x v="28"/>
    <x v="1"/>
    <x v="0"/>
    <x v="359"/>
    <x v="0"/>
    <x v="8"/>
    <x v="1"/>
    <x v="0"/>
    <x v="0"/>
    <x v="1"/>
    <x v="313"/>
    <x v="0"/>
    <x v="0"/>
    <x v="282"/>
    <x v="17"/>
  </r>
  <r>
    <x v="360"/>
    <x v="360"/>
    <x v="32"/>
    <x v="24"/>
    <x v="0"/>
    <x v="0"/>
    <x v="360"/>
    <x v="1"/>
    <x v="8"/>
    <x v="2"/>
    <x v="1"/>
    <x v="12"/>
    <x v="0"/>
    <x v="314"/>
    <x v="1"/>
    <x v="28"/>
    <x v="283"/>
    <x v="29"/>
  </r>
  <r>
    <x v="361"/>
    <x v="361"/>
    <x v="33"/>
    <x v="9"/>
    <x v="1"/>
    <x v="0"/>
    <x v="361"/>
    <x v="2"/>
    <x v="2"/>
    <x v="3"/>
    <x v="2"/>
    <x v="4"/>
    <x v="1"/>
    <x v="315"/>
    <x v="2"/>
    <x v="35"/>
    <x v="284"/>
    <x v="79"/>
  </r>
  <r>
    <x v="362"/>
    <x v="362"/>
    <x v="16"/>
    <x v="1"/>
    <x v="0"/>
    <x v="0"/>
    <x v="362"/>
    <x v="0"/>
    <x v="1"/>
    <x v="4"/>
    <x v="3"/>
    <x v="5"/>
    <x v="0"/>
    <x v="316"/>
    <x v="3"/>
    <x v="6"/>
    <x v="285"/>
    <x v="73"/>
  </r>
  <r>
    <x v="363"/>
    <x v="363"/>
    <x v="17"/>
    <x v="7"/>
    <x v="1"/>
    <x v="0"/>
    <x v="363"/>
    <x v="1"/>
    <x v="1"/>
    <x v="5"/>
    <x v="0"/>
    <x v="12"/>
    <x v="1"/>
    <x v="317"/>
    <x v="0"/>
    <x v="23"/>
    <x v="286"/>
    <x v="8"/>
  </r>
  <r>
    <x v="364"/>
    <x v="364"/>
    <x v="18"/>
    <x v="17"/>
    <x v="1"/>
    <x v="0"/>
    <x v="364"/>
    <x v="2"/>
    <x v="0"/>
    <x v="6"/>
    <x v="1"/>
    <x v="6"/>
    <x v="0"/>
    <x v="318"/>
    <x v="1"/>
    <x v="37"/>
    <x v="91"/>
    <x v="29"/>
  </r>
  <r>
    <x v="365"/>
    <x v="365"/>
    <x v="9"/>
    <x v="16"/>
    <x v="0"/>
    <x v="0"/>
    <x v="365"/>
    <x v="0"/>
    <x v="2"/>
    <x v="7"/>
    <x v="2"/>
    <x v="9"/>
    <x v="1"/>
    <x v="319"/>
    <x v="2"/>
    <x v="14"/>
    <x v="287"/>
    <x v="74"/>
  </r>
  <r>
    <x v="366"/>
    <x v="366"/>
    <x v="20"/>
    <x v="10"/>
    <x v="1"/>
    <x v="1"/>
    <x v="366"/>
    <x v="1"/>
    <x v="2"/>
    <x v="8"/>
    <x v="3"/>
    <x v="9"/>
    <x v="1"/>
    <x v="320"/>
    <x v="3"/>
    <x v="9"/>
    <x v="288"/>
    <x v="48"/>
  </r>
  <r>
    <x v="367"/>
    <x v="367"/>
    <x v="21"/>
    <x v="22"/>
    <x v="1"/>
    <x v="0"/>
    <x v="367"/>
    <x v="2"/>
    <x v="1"/>
    <x v="9"/>
    <x v="0"/>
    <x v="14"/>
    <x v="1"/>
    <x v="321"/>
    <x v="0"/>
    <x v="31"/>
    <x v="270"/>
    <x v="25"/>
  </r>
  <r>
    <x v="368"/>
    <x v="368"/>
    <x v="22"/>
    <x v="8"/>
    <x v="0"/>
    <x v="0"/>
    <x v="368"/>
    <x v="0"/>
    <x v="2"/>
    <x v="10"/>
    <x v="1"/>
    <x v="3"/>
    <x v="1"/>
    <x v="322"/>
    <x v="1"/>
    <x v="13"/>
    <x v="279"/>
    <x v="22"/>
  </r>
  <r>
    <x v="369"/>
    <x v="369"/>
    <x v="23"/>
    <x v="25"/>
    <x v="1"/>
    <x v="0"/>
    <x v="369"/>
    <x v="1"/>
    <x v="2"/>
    <x v="11"/>
    <x v="2"/>
    <x v="2"/>
    <x v="1"/>
    <x v="323"/>
    <x v="2"/>
    <x v="2"/>
    <x v="289"/>
    <x v="89"/>
  </r>
  <r>
    <x v="370"/>
    <x v="370"/>
    <x v="24"/>
    <x v="2"/>
    <x v="0"/>
    <x v="0"/>
    <x v="370"/>
    <x v="2"/>
    <x v="0"/>
    <x v="12"/>
    <x v="3"/>
    <x v="9"/>
    <x v="0"/>
    <x v="324"/>
    <x v="3"/>
    <x v="9"/>
    <x v="290"/>
    <x v="82"/>
  </r>
  <r>
    <x v="371"/>
    <x v="371"/>
    <x v="25"/>
    <x v="17"/>
    <x v="1"/>
    <x v="0"/>
    <x v="371"/>
    <x v="0"/>
    <x v="0"/>
    <x v="0"/>
    <x v="0"/>
    <x v="4"/>
    <x v="1"/>
    <x v="325"/>
    <x v="0"/>
    <x v="4"/>
    <x v="25"/>
    <x v="29"/>
  </r>
  <r>
    <x v="372"/>
    <x v="372"/>
    <x v="37"/>
    <x v="26"/>
    <x v="0"/>
    <x v="1"/>
    <x v="372"/>
    <x v="1"/>
    <x v="2"/>
    <x v="1"/>
    <x v="1"/>
    <x v="5"/>
    <x v="0"/>
    <x v="326"/>
    <x v="1"/>
    <x v="15"/>
    <x v="291"/>
    <x v="29"/>
  </r>
  <r>
    <x v="373"/>
    <x v="373"/>
    <x v="1"/>
    <x v="8"/>
    <x v="1"/>
    <x v="0"/>
    <x v="373"/>
    <x v="2"/>
    <x v="2"/>
    <x v="2"/>
    <x v="2"/>
    <x v="2"/>
    <x v="1"/>
    <x v="327"/>
    <x v="2"/>
    <x v="2"/>
    <x v="292"/>
    <x v="33"/>
  </r>
  <r>
    <x v="374"/>
    <x v="374"/>
    <x v="2"/>
    <x v="13"/>
    <x v="2"/>
    <x v="0"/>
    <x v="374"/>
    <x v="0"/>
    <x v="1"/>
    <x v="3"/>
    <x v="3"/>
    <x v="3"/>
    <x v="0"/>
    <x v="328"/>
    <x v="3"/>
    <x v="3"/>
    <x v="293"/>
    <x v="5"/>
  </r>
  <r>
    <x v="375"/>
    <x v="375"/>
    <x v="3"/>
    <x v="18"/>
    <x v="0"/>
    <x v="0"/>
    <x v="375"/>
    <x v="1"/>
    <x v="2"/>
    <x v="4"/>
    <x v="4"/>
    <x v="10"/>
    <x v="1"/>
    <x v="329"/>
    <x v="4"/>
    <x v="16"/>
    <x v="294"/>
    <x v="29"/>
  </r>
  <r>
    <x v="376"/>
    <x v="376"/>
    <x v="4"/>
    <x v="26"/>
    <x v="1"/>
    <x v="0"/>
    <x v="376"/>
    <x v="2"/>
    <x v="0"/>
    <x v="5"/>
    <x v="0"/>
    <x v="2"/>
    <x v="0"/>
    <x v="330"/>
    <x v="0"/>
    <x v="33"/>
    <x v="295"/>
    <x v="5"/>
  </r>
  <r>
    <x v="377"/>
    <x v="377"/>
    <x v="5"/>
    <x v="2"/>
    <x v="1"/>
    <x v="0"/>
    <x v="377"/>
    <x v="0"/>
    <x v="1"/>
    <x v="6"/>
    <x v="1"/>
    <x v="14"/>
    <x v="1"/>
    <x v="331"/>
    <x v="1"/>
    <x v="3"/>
    <x v="109"/>
    <x v="9"/>
  </r>
  <r>
    <x v="378"/>
    <x v="378"/>
    <x v="7"/>
    <x v="0"/>
    <x v="0"/>
    <x v="0"/>
    <x v="378"/>
    <x v="1"/>
    <x v="2"/>
    <x v="7"/>
    <x v="2"/>
    <x v="9"/>
    <x v="0"/>
    <x v="332"/>
    <x v="2"/>
    <x v="14"/>
    <x v="296"/>
    <x v="12"/>
  </r>
  <r>
    <x v="379"/>
    <x v="379"/>
    <x v="7"/>
    <x v="26"/>
    <x v="1"/>
    <x v="0"/>
    <x v="379"/>
    <x v="2"/>
    <x v="0"/>
    <x v="8"/>
    <x v="3"/>
    <x v="1"/>
    <x v="1"/>
    <x v="333"/>
    <x v="3"/>
    <x v="20"/>
    <x v="150"/>
    <x v="55"/>
  </r>
  <r>
    <x v="380"/>
    <x v="380"/>
    <x v="8"/>
    <x v="17"/>
    <x v="0"/>
    <x v="0"/>
    <x v="380"/>
    <x v="0"/>
    <x v="2"/>
    <x v="9"/>
    <x v="0"/>
    <x v="12"/>
    <x v="0"/>
    <x v="334"/>
    <x v="0"/>
    <x v="23"/>
    <x v="7"/>
    <x v="30"/>
  </r>
  <r>
    <x v="381"/>
    <x v="381"/>
    <x v="5"/>
    <x v="20"/>
    <x v="1"/>
    <x v="0"/>
    <x v="381"/>
    <x v="1"/>
    <x v="1"/>
    <x v="10"/>
    <x v="1"/>
    <x v="8"/>
    <x v="1"/>
    <x v="335"/>
    <x v="1"/>
    <x v="27"/>
    <x v="263"/>
    <x v="50"/>
  </r>
  <r>
    <x v="382"/>
    <x v="382"/>
    <x v="9"/>
    <x v="1"/>
    <x v="1"/>
    <x v="0"/>
    <x v="382"/>
    <x v="2"/>
    <x v="8"/>
    <x v="11"/>
    <x v="2"/>
    <x v="2"/>
    <x v="0"/>
    <x v="336"/>
    <x v="2"/>
    <x v="2"/>
    <x v="232"/>
    <x v="66"/>
  </r>
  <r>
    <x v="383"/>
    <x v="383"/>
    <x v="10"/>
    <x v="2"/>
    <x v="0"/>
    <x v="0"/>
    <x v="383"/>
    <x v="0"/>
    <x v="1"/>
    <x v="12"/>
    <x v="3"/>
    <x v="5"/>
    <x v="1"/>
    <x v="337"/>
    <x v="3"/>
    <x v="6"/>
    <x v="297"/>
    <x v="83"/>
  </r>
  <r>
    <x v="384"/>
    <x v="384"/>
    <x v="39"/>
    <x v="2"/>
    <x v="1"/>
    <x v="0"/>
    <x v="384"/>
    <x v="1"/>
    <x v="2"/>
    <x v="0"/>
    <x v="4"/>
    <x v="13"/>
    <x v="0"/>
    <x v="338"/>
    <x v="4"/>
    <x v="24"/>
    <x v="298"/>
    <x v="11"/>
  </r>
  <r>
    <x v="385"/>
    <x v="385"/>
    <x v="11"/>
    <x v="28"/>
    <x v="1"/>
    <x v="0"/>
    <x v="385"/>
    <x v="2"/>
    <x v="1"/>
    <x v="1"/>
    <x v="5"/>
    <x v="5"/>
    <x v="1"/>
    <x v="339"/>
    <x v="5"/>
    <x v="34"/>
    <x v="75"/>
    <x v="34"/>
  </r>
  <r>
    <x v="386"/>
    <x v="386"/>
    <x v="5"/>
    <x v="3"/>
    <x v="0"/>
    <x v="0"/>
    <x v="386"/>
    <x v="0"/>
    <x v="0"/>
    <x v="2"/>
    <x v="0"/>
    <x v="12"/>
    <x v="0"/>
    <x v="340"/>
    <x v="0"/>
    <x v="23"/>
    <x v="203"/>
    <x v="4"/>
  </r>
  <r>
    <x v="387"/>
    <x v="387"/>
    <x v="12"/>
    <x v="13"/>
    <x v="1"/>
    <x v="0"/>
    <x v="387"/>
    <x v="1"/>
    <x v="2"/>
    <x v="3"/>
    <x v="1"/>
    <x v="8"/>
    <x v="1"/>
    <x v="341"/>
    <x v="1"/>
    <x v="27"/>
    <x v="271"/>
    <x v="41"/>
  </r>
  <r>
    <x v="388"/>
    <x v="388"/>
    <x v="10"/>
    <x v="12"/>
    <x v="0"/>
    <x v="0"/>
    <x v="388"/>
    <x v="2"/>
    <x v="0"/>
    <x v="4"/>
    <x v="2"/>
    <x v="2"/>
    <x v="1"/>
    <x v="342"/>
    <x v="2"/>
    <x v="2"/>
    <x v="88"/>
    <x v="16"/>
  </r>
  <r>
    <x v="389"/>
    <x v="389"/>
    <x v="4"/>
    <x v="3"/>
    <x v="1"/>
    <x v="0"/>
    <x v="389"/>
    <x v="0"/>
    <x v="0"/>
    <x v="5"/>
    <x v="3"/>
    <x v="2"/>
    <x v="1"/>
    <x v="343"/>
    <x v="3"/>
    <x v="15"/>
    <x v="93"/>
    <x v="59"/>
  </r>
  <r>
    <x v="390"/>
    <x v="390"/>
    <x v="13"/>
    <x v="16"/>
    <x v="0"/>
    <x v="0"/>
    <x v="390"/>
    <x v="1"/>
    <x v="0"/>
    <x v="6"/>
    <x v="0"/>
    <x v="7"/>
    <x v="1"/>
    <x v="344"/>
    <x v="0"/>
    <x v="10"/>
    <x v="299"/>
    <x v="11"/>
  </r>
  <r>
    <x v="391"/>
    <x v="391"/>
    <x v="14"/>
    <x v="4"/>
    <x v="1"/>
    <x v="0"/>
    <x v="391"/>
    <x v="2"/>
    <x v="0"/>
    <x v="7"/>
    <x v="1"/>
    <x v="0"/>
    <x v="1"/>
    <x v="345"/>
    <x v="1"/>
    <x v="5"/>
    <x v="160"/>
    <x v="18"/>
  </r>
  <r>
    <x v="392"/>
    <x v="392"/>
    <x v="15"/>
    <x v="14"/>
    <x v="2"/>
    <x v="0"/>
    <x v="392"/>
    <x v="0"/>
    <x v="0"/>
    <x v="8"/>
    <x v="2"/>
    <x v="11"/>
    <x v="0"/>
    <x v="346"/>
    <x v="2"/>
    <x v="17"/>
    <x v="300"/>
    <x v="64"/>
  </r>
  <r>
    <x v="393"/>
    <x v="393"/>
    <x v="9"/>
    <x v="16"/>
    <x v="0"/>
    <x v="0"/>
    <x v="393"/>
    <x v="1"/>
    <x v="2"/>
    <x v="9"/>
    <x v="3"/>
    <x v="4"/>
    <x v="1"/>
    <x v="347"/>
    <x v="3"/>
    <x v="5"/>
    <x v="301"/>
    <x v="27"/>
  </r>
  <r>
    <x v="394"/>
    <x v="394"/>
    <x v="17"/>
    <x v="7"/>
    <x v="1"/>
    <x v="1"/>
    <x v="394"/>
    <x v="2"/>
    <x v="2"/>
    <x v="10"/>
    <x v="4"/>
    <x v="4"/>
    <x v="0"/>
    <x v="348"/>
    <x v="4"/>
    <x v="41"/>
    <x v="302"/>
    <x v="41"/>
  </r>
  <r>
    <x v="395"/>
    <x v="395"/>
    <x v="18"/>
    <x v="3"/>
    <x v="1"/>
    <x v="0"/>
    <x v="395"/>
    <x v="0"/>
    <x v="1"/>
    <x v="11"/>
    <x v="0"/>
    <x v="7"/>
    <x v="1"/>
    <x v="349"/>
    <x v="0"/>
    <x v="10"/>
    <x v="303"/>
    <x v="11"/>
  </r>
  <r>
    <x v="396"/>
    <x v="396"/>
    <x v="19"/>
    <x v="6"/>
    <x v="0"/>
    <x v="0"/>
    <x v="396"/>
    <x v="1"/>
    <x v="1"/>
    <x v="12"/>
    <x v="1"/>
    <x v="4"/>
    <x v="0"/>
    <x v="350"/>
    <x v="1"/>
    <x v="9"/>
    <x v="189"/>
    <x v="46"/>
  </r>
  <r>
    <x v="397"/>
    <x v="397"/>
    <x v="20"/>
    <x v="15"/>
    <x v="1"/>
    <x v="0"/>
    <x v="397"/>
    <x v="2"/>
    <x v="0"/>
    <x v="0"/>
    <x v="2"/>
    <x v="11"/>
    <x v="1"/>
    <x v="351"/>
    <x v="2"/>
    <x v="17"/>
    <x v="304"/>
    <x v="79"/>
  </r>
  <r>
    <x v="398"/>
    <x v="398"/>
    <x v="21"/>
    <x v="22"/>
    <x v="0"/>
    <x v="0"/>
    <x v="398"/>
    <x v="0"/>
    <x v="2"/>
    <x v="1"/>
    <x v="3"/>
    <x v="1"/>
    <x v="0"/>
    <x v="352"/>
    <x v="3"/>
    <x v="20"/>
    <x v="181"/>
    <x v="8"/>
  </r>
  <r>
    <x v="399"/>
    <x v="399"/>
    <x v="22"/>
    <x v="22"/>
    <x v="1"/>
    <x v="0"/>
    <x v="399"/>
    <x v="0"/>
    <x v="2"/>
    <x v="2"/>
    <x v="0"/>
    <x v="1"/>
    <x v="1"/>
    <x v="353"/>
    <x v="0"/>
    <x v="21"/>
    <x v="282"/>
    <x v="1"/>
  </r>
  <r>
    <x v="400"/>
    <x v="400"/>
    <x v="23"/>
    <x v="9"/>
    <x v="1"/>
    <x v="1"/>
    <x v="400"/>
    <x v="0"/>
    <x v="8"/>
    <x v="3"/>
    <x v="1"/>
    <x v="6"/>
    <x v="0"/>
    <x v="354"/>
    <x v="1"/>
    <x v="37"/>
    <x v="305"/>
    <x v="9"/>
  </r>
  <r>
    <x v="401"/>
    <x v="401"/>
    <x v="24"/>
    <x v="17"/>
    <x v="0"/>
    <x v="0"/>
    <x v="401"/>
    <x v="1"/>
    <x v="2"/>
    <x v="4"/>
    <x v="2"/>
    <x v="2"/>
    <x v="1"/>
    <x v="355"/>
    <x v="2"/>
    <x v="2"/>
    <x v="306"/>
    <x v="56"/>
  </r>
  <r>
    <x v="402"/>
    <x v="402"/>
    <x v="25"/>
    <x v="9"/>
    <x v="1"/>
    <x v="0"/>
    <x v="402"/>
    <x v="2"/>
    <x v="2"/>
    <x v="5"/>
    <x v="3"/>
    <x v="4"/>
    <x v="0"/>
    <x v="356"/>
    <x v="3"/>
    <x v="5"/>
    <x v="307"/>
    <x v="14"/>
  </r>
  <r>
    <x v="403"/>
    <x v="403"/>
    <x v="26"/>
    <x v="4"/>
    <x v="1"/>
    <x v="0"/>
    <x v="403"/>
    <x v="0"/>
    <x v="2"/>
    <x v="6"/>
    <x v="4"/>
    <x v="7"/>
    <x v="1"/>
    <x v="357"/>
    <x v="4"/>
    <x v="31"/>
    <x v="308"/>
    <x v="20"/>
  </r>
  <r>
    <x v="404"/>
    <x v="404"/>
    <x v="11"/>
    <x v="0"/>
    <x v="0"/>
    <x v="0"/>
    <x v="404"/>
    <x v="1"/>
    <x v="2"/>
    <x v="7"/>
    <x v="5"/>
    <x v="0"/>
    <x v="0"/>
    <x v="358"/>
    <x v="5"/>
    <x v="19"/>
    <x v="309"/>
    <x v="0"/>
  </r>
  <r>
    <x v="405"/>
    <x v="405"/>
    <x v="17"/>
    <x v="14"/>
    <x v="1"/>
    <x v="0"/>
    <x v="405"/>
    <x v="2"/>
    <x v="1"/>
    <x v="8"/>
    <x v="0"/>
    <x v="3"/>
    <x v="1"/>
    <x v="359"/>
    <x v="0"/>
    <x v="12"/>
    <x v="310"/>
    <x v="8"/>
  </r>
  <r>
    <x v="406"/>
    <x v="406"/>
    <x v="22"/>
    <x v="28"/>
    <x v="0"/>
    <x v="0"/>
    <x v="406"/>
    <x v="0"/>
    <x v="1"/>
    <x v="9"/>
    <x v="1"/>
    <x v="4"/>
    <x v="0"/>
    <x v="360"/>
    <x v="1"/>
    <x v="9"/>
    <x v="20"/>
    <x v="1"/>
  </r>
  <r>
    <x v="407"/>
    <x v="407"/>
    <x v="4"/>
    <x v="20"/>
    <x v="1"/>
    <x v="0"/>
    <x v="407"/>
    <x v="1"/>
    <x v="0"/>
    <x v="10"/>
    <x v="2"/>
    <x v="9"/>
    <x v="1"/>
    <x v="361"/>
    <x v="2"/>
    <x v="14"/>
    <x v="311"/>
    <x v="33"/>
  </r>
  <r>
    <x v="408"/>
    <x v="408"/>
    <x v="12"/>
    <x v="19"/>
    <x v="0"/>
    <x v="0"/>
    <x v="408"/>
    <x v="2"/>
    <x v="1"/>
    <x v="11"/>
    <x v="3"/>
    <x v="9"/>
    <x v="0"/>
    <x v="362"/>
    <x v="3"/>
    <x v="9"/>
    <x v="196"/>
    <x v="87"/>
  </r>
  <r>
    <x v="409"/>
    <x v="409"/>
    <x v="24"/>
    <x v="5"/>
    <x v="1"/>
    <x v="0"/>
    <x v="409"/>
    <x v="0"/>
    <x v="0"/>
    <x v="12"/>
    <x v="0"/>
    <x v="14"/>
    <x v="1"/>
    <x v="363"/>
    <x v="0"/>
    <x v="31"/>
    <x v="312"/>
    <x v="67"/>
  </r>
  <r>
    <x v="410"/>
    <x v="410"/>
    <x v="25"/>
    <x v="9"/>
    <x v="2"/>
    <x v="0"/>
    <x v="410"/>
    <x v="1"/>
    <x v="8"/>
    <x v="13"/>
    <x v="1"/>
    <x v="5"/>
    <x v="1"/>
    <x v="364"/>
    <x v="1"/>
    <x v="15"/>
    <x v="313"/>
    <x v="21"/>
  </r>
  <r>
    <x v="411"/>
    <x v="411"/>
    <x v="27"/>
    <x v="4"/>
    <x v="0"/>
    <x v="0"/>
    <x v="411"/>
    <x v="2"/>
    <x v="1"/>
    <x v="14"/>
    <x v="2"/>
    <x v="11"/>
    <x v="1"/>
    <x v="365"/>
    <x v="2"/>
    <x v="17"/>
    <x v="205"/>
    <x v="61"/>
  </r>
  <r>
    <x v="412"/>
    <x v="412"/>
    <x v="40"/>
    <x v="23"/>
    <x v="1"/>
    <x v="0"/>
    <x v="412"/>
    <x v="0"/>
    <x v="8"/>
    <x v="15"/>
    <x v="0"/>
    <x v="6"/>
    <x v="1"/>
    <x v="366"/>
    <x v="0"/>
    <x v="8"/>
    <x v="82"/>
    <x v="52"/>
  </r>
  <r>
    <x v="413"/>
    <x v="413"/>
    <x v="28"/>
    <x v="5"/>
    <x v="1"/>
    <x v="0"/>
    <x v="413"/>
    <x v="1"/>
    <x v="0"/>
    <x v="16"/>
    <x v="1"/>
    <x v="1"/>
    <x v="1"/>
    <x v="367"/>
    <x v="1"/>
    <x v="1"/>
    <x v="2"/>
    <x v="70"/>
  </r>
  <r>
    <x v="414"/>
    <x v="414"/>
    <x v="29"/>
    <x v="20"/>
    <x v="0"/>
    <x v="0"/>
    <x v="414"/>
    <x v="2"/>
    <x v="2"/>
    <x v="17"/>
    <x v="2"/>
    <x v="2"/>
    <x v="0"/>
    <x v="368"/>
    <x v="2"/>
    <x v="2"/>
    <x v="54"/>
    <x v="89"/>
  </r>
  <r>
    <x v="415"/>
    <x v="415"/>
    <x v="30"/>
    <x v="27"/>
    <x v="1"/>
    <x v="0"/>
    <x v="415"/>
    <x v="0"/>
    <x v="1"/>
    <x v="18"/>
    <x v="3"/>
    <x v="4"/>
    <x v="1"/>
    <x v="369"/>
    <x v="3"/>
    <x v="5"/>
    <x v="314"/>
    <x v="3"/>
  </r>
  <r>
    <x v="416"/>
    <x v="416"/>
    <x v="9"/>
    <x v="16"/>
    <x v="0"/>
    <x v="0"/>
    <x v="416"/>
    <x v="1"/>
    <x v="1"/>
    <x v="19"/>
    <x v="0"/>
    <x v="14"/>
    <x v="0"/>
    <x v="370"/>
    <x v="0"/>
    <x v="31"/>
    <x v="315"/>
    <x v="28"/>
  </r>
  <r>
    <x v="417"/>
    <x v="417"/>
    <x v="32"/>
    <x v="11"/>
    <x v="1"/>
    <x v="0"/>
    <x v="417"/>
    <x v="2"/>
    <x v="1"/>
    <x v="20"/>
    <x v="1"/>
    <x v="1"/>
    <x v="1"/>
    <x v="371"/>
    <x v="1"/>
    <x v="1"/>
    <x v="141"/>
    <x v="11"/>
  </r>
  <r>
    <x v="418"/>
    <x v="418"/>
    <x v="33"/>
    <x v="29"/>
    <x v="1"/>
    <x v="0"/>
    <x v="418"/>
    <x v="0"/>
    <x v="8"/>
    <x v="21"/>
    <x v="2"/>
    <x v="11"/>
    <x v="0"/>
    <x v="372"/>
    <x v="2"/>
    <x v="17"/>
    <x v="257"/>
    <x v="90"/>
  </r>
  <r>
    <x v="419"/>
    <x v="419"/>
    <x v="34"/>
    <x v="20"/>
    <x v="0"/>
    <x v="0"/>
    <x v="419"/>
    <x v="1"/>
    <x v="1"/>
    <x v="22"/>
    <x v="3"/>
    <x v="3"/>
    <x v="1"/>
    <x v="373"/>
    <x v="3"/>
    <x v="3"/>
    <x v="316"/>
    <x v="49"/>
  </r>
  <r>
    <x v="420"/>
    <x v="420"/>
    <x v="35"/>
    <x v="18"/>
    <x v="1"/>
    <x v="0"/>
    <x v="420"/>
    <x v="2"/>
    <x v="8"/>
    <x v="23"/>
    <x v="4"/>
    <x v="3"/>
    <x v="0"/>
    <x v="374"/>
    <x v="4"/>
    <x v="40"/>
    <x v="271"/>
    <x v="15"/>
  </r>
  <r>
    <x v="421"/>
    <x v="421"/>
    <x v="36"/>
    <x v="9"/>
    <x v="1"/>
    <x v="0"/>
    <x v="421"/>
    <x v="0"/>
    <x v="0"/>
    <x v="24"/>
    <x v="0"/>
    <x v="6"/>
    <x v="1"/>
    <x v="375"/>
    <x v="0"/>
    <x v="8"/>
    <x v="317"/>
    <x v="25"/>
  </r>
  <r>
    <x v="422"/>
    <x v="422"/>
    <x v="37"/>
    <x v="11"/>
    <x v="0"/>
    <x v="1"/>
    <x v="422"/>
    <x v="1"/>
    <x v="8"/>
    <x v="25"/>
    <x v="1"/>
    <x v="1"/>
    <x v="0"/>
    <x v="376"/>
    <x v="1"/>
    <x v="1"/>
    <x v="200"/>
    <x v="11"/>
  </r>
  <r>
    <x v="423"/>
    <x v="423"/>
    <x v="1"/>
    <x v="28"/>
    <x v="1"/>
    <x v="0"/>
    <x v="423"/>
    <x v="2"/>
    <x v="2"/>
    <x v="26"/>
    <x v="2"/>
    <x v="2"/>
    <x v="1"/>
    <x v="377"/>
    <x v="2"/>
    <x v="2"/>
    <x v="318"/>
    <x v="32"/>
  </r>
  <r>
    <x v="424"/>
    <x v="424"/>
    <x v="2"/>
    <x v="18"/>
    <x v="0"/>
    <x v="0"/>
    <x v="424"/>
    <x v="0"/>
    <x v="0"/>
    <x v="27"/>
    <x v="3"/>
    <x v="1"/>
    <x v="0"/>
    <x v="378"/>
    <x v="3"/>
    <x v="20"/>
    <x v="319"/>
    <x v="49"/>
  </r>
  <r>
    <x v="425"/>
    <x v="425"/>
    <x v="3"/>
    <x v="7"/>
    <x v="1"/>
    <x v="0"/>
    <x v="425"/>
    <x v="1"/>
    <x v="0"/>
    <x v="0"/>
    <x v="0"/>
    <x v="7"/>
    <x v="1"/>
    <x v="379"/>
    <x v="0"/>
    <x v="10"/>
    <x v="320"/>
    <x v="5"/>
  </r>
  <r>
    <x v="426"/>
    <x v="426"/>
    <x v="4"/>
    <x v="20"/>
    <x v="0"/>
    <x v="0"/>
    <x v="426"/>
    <x v="2"/>
    <x v="2"/>
    <x v="1"/>
    <x v="1"/>
    <x v="1"/>
    <x v="0"/>
    <x v="380"/>
    <x v="1"/>
    <x v="1"/>
    <x v="321"/>
    <x v="50"/>
  </r>
  <r>
    <x v="427"/>
    <x v="427"/>
    <x v="5"/>
    <x v="13"/>
    <x v="1"/>
    <x v="0"/>
    <x v="427"/>
    <x v="0"/>
    <x v="1"/>
    <x v="2"/>
    <x v="2"/>
    <x v="2"/>
    <x v="1"/>
    <x v="381"/>
    <x v="2"/>
    <x v="2"/>
    <x v="322"/>
    <x v="66"/>
  </r>
  <r>
    <x v="428"/>
    <x v="428"/>
    <x v="7"/>
    <x v="5"/>
    <x v="2"/>
    <x v="1"/>
    <x v="428"/>
    <x v="1"/>
    <x v="8"/>
    <x v="3"/>
    <x v="3"/>
    <x v="5"/>
    <x v="0"/>
    <x v="382"/>
    <x v="3"/>
    <x v="6"/>
    <x v="323"/>
    <x v="70"/>
  </r>
  <r>
    <x v="429"/>
    <x v="429"/>
    <x v="7"/>
    <x v="26"/>
    <x v="0"/>
    <x v="0"/>
    <x v="429"/>
    <x v="2"/>
    <x v="2"/>
    <x v="4"/>
    <x v="4"/>
    <x v="10"/>
    <x v="1"/>
    <x v="383"/>
    <x v="4"/>
    <x v="16"/>
    <x v="307"/>
    <x v="31"/>
  </r>
  <r>
    <x v="430"/>
    <x v="430"/>
    <x v="8"/>
    <x v="15"/>
    <x v="1"/>
    <x v="0"/>
    <x v="430"/>
    <x v="0"/>
    <x v="8"/>
    <x v="5"/>
    <x v="5"/>
    <x v="1"/>
    <x v="0"/>
    <x v="384"/>
    <x v="5"/>
    <x v="38"/>
    <x v="324"/>
    <x v="18"/>
  </r>
  <r>
    <x v="431"/>
    <x v="431"/>
    <x v="38"/>
    <x v="20"/>
    <x v="1"/>
    <x v="0"/>
    <x v="431"/>
    <x v="1"/>
    <x v="1"/>
    <x v="6"/>
    <x v="0"/>
    <x v="3"/>
    <x v="1"/>
    <x v="385"/>
    <x v="0"/>
    <x v="12"/>
    <x v="302"/>
    <x v="41"/>
  </r>
  <r>
    <x v="432"/>
    <x v="432"/>
    <x v="9"/>
    <x v="20"/>
    <x v="0"/>
    <x v="0"/>
    <x v="432"/>
    <x v="2"/>
    <x v="1"/>
    <x v="7"/>
    <x v="1"/>
    <x v="0"/>
    <x v="1"/>
    <x v="386"/>
    <x v="1"/>
    <x v="5"/>
    <x v="325"/>
    <x v="46"/>
  </r>
  <r>
    <x v="433"/>
    <x v="433"/>
    <x v="10"/>
    <x v="22"/>
    <x v="1"/>
    <x v="0"/>
    <x v="433"/>
    <x v="0"/>
    <x v="8"/>
    <x v="8"/>
    <x v="2"/>
    <x v="2"/>
    <x v="1"/>
    <x v="387"/>
    <x v="2"/>
    <x v="2"/>
    <x v="326"/>
    <x v="57"/>
  </r>
  <r>
    <x v="434"/>
    <x v="434"/>
    <x v="39"/>
    <x v="4"/>
    <x v="0"/>
    <x v="0"/>
    <x v="434"/>
    <x v="1"/>
    <x v="0"/>
    <x v="9"/>
    <x v="3"/>
    <x v="4"/>
    <x v="1"/>
    <x v="388"/>
    <x v="3"/>
    <x v="5"/>
    <x v="327"/>
    <x v="9"/>
  </r>
  <r>
    <x v="435"/>
    <x v="435"/>
    <x v="11"/>
    <x v="13"/>
    <x v="1"/>
    <x v="0"/>
    <x v="435"/>
    <x v="2"/>
    <x v="0"/>
    <x v="10"/>
    <x v="0"/>
    <x v="14"/>
    <x v="1"/>
    <x v="389"/>
    <x v="0"/>
    <x v="31"/>
    <x v="241"/>
    <x v="26"/>
  </r>
  <r>
    <x v="436"/>
    <x v="436"/>
    <x v="36"/>
    <x v="23"/>
    <x v="1"/>
    <x v="0"/>
    <x v="436"/>
    <x v="0"/>
    <x v="1"/>
    <x v="11"/>
    <x v="1"/>
    <x v="4"/>
    <x v="0"/>
    <x v="390"/>
    <x v="1"/>
    <x v="9"/>
    <x v="181"/>
    <x v="0"/>
  </r>
  <r>
    <x v="437"/>
    <x v="437"/>
    <x v="37"/>
    <x v="20"/>
    <x v="0"/>
    <x v="0"/>
    <x v="437"/>
    <x v="1"/>
    <x v="8"/>
    <x v="12"/>
    <x v="2"/>
    <x v="2"/>
    <x v="1"/>
    <x v="391"/>
    <x v="2"/>
    <x v="2"/>
    <x v="328"/>
    <x v="91"/>
  </r>
  <r>
    <x v="438"/>
    <x v="438"/>
    <x v="1"/>
    <x v="29"/>
    <x v="1"/>
    <x v="0"/>
    <x v="438"/>
    <x v="2"/>
    <x v="1"/>
    <x v="13"/>
    <x v="3"/>
    <x v="9"/>
    <x v="0"/>
    <x v="392"/>
    <x v="3"/>
    <x v="9"/>
    <x v="329"/>
    <x v="44"/>
  </r>
  <r>
    <x v="439"/>
    <x v="439"/>
    <x v="2"/>
    <x v="12"/>
    <x v="1"/>
    <x v="0"/>
    <x v="439"/>
    <x v="0"/>
    <x v="1"/>
    <x v="14"/>
    <x v="4"/>
    <x v="4"/>
    <x v="1"/>
    <x v="393"/>
    <x v="4"/>
    <x v="41"/>
    <x v="215"/>
    <x v="63"/>
  </r>
  <r>
    <x v="440"/>
    <x v="440"/>
    <x v="3"/>
    <x v="14"/>
    <x v="0"/>
    <x v="0"/>
    <x v="440"/>
    <x v="1"/>
    <x v="2"/>
    <x v="15"/>
    <x v="0"/>
    <x v="4"/>
    <x v="0"/>
    <x v="394"/>
    <x v="0"/>
    <x v="4"/>
    <x v="330"/>
    <x v="46"/>
  </r>
  <r>
    <x v="441"/>
    <x v="441"/>
    <x v="4"/>
    <x v="2"/>
    <x v="1"/>
    <x v="0"/>
    <x v="441"/>
    <x v="2"/>
    <x v="1"/>
    <x v="16"/>
    <x v="1"/>
    <x v="1"/>
    <x v="1"/>
    <x v="395"/>
    <x v="1"/>
    <x v="1"/>
    <x v="171"/>
    <x v="28"/>
  </r>
  <r>
    <x v="442"/>
    <x v="442"/>
    <x v="5"/>
    <x v="8"/>
    <x v="0"/>
    <x v="0"/>
    <x v="442"/>
    <x v="0"/>
    <x v="8"/>
    <x v="17"/>
    <x v="2"/>
    <x v="9"/>
    <x v="0"/>
    <x v="396"/>
    <x v="2"/>
    <x v="14"/>
    <x v="244"/>
    <x v="57"/>
  </r>
  <r>
    <x v="443"/>
    <x v="443"/>
    <x v="7"/>
    <x v="6"/>
    <x v="1"/>
    <x v="0"/>
    <x v="443"/>
    <x v="1"/>
    <x v="1"/>
    <x v="18"/>
    <x v="3"/>
    <x v="5"/>
    <x v="1"/>
    <x v="397"/>
    <x v="3"/>
    <x v="6"/>
    <x v="331"/>
    <x v="69"/>
  </r>
  <r>
    <x v="444"/>
    <x v="444"/>
    <x v="7"/>
    <x v="17"/>
    <x v="0"/>
    <x v="0"/>
    <x v="444"/>
    <x v="2"/>
    <x v="8"/>
    <x v="19"/>
    <x v="0"/>
    <x v="6"/>
    <x v="0"/>
    <x v="398"/>
    <x v="0"/>
    <x v="8"/>
    <x v="144"/>
    <x v="31"/>
  </r>
  <r>
    <x v="445"/>
    <x v="445"/>
    <x v="8"/>
    <x v="13"/>
    <x v="1"/>
    <x v="0"/>
    <x v="445"/>
    <x v="0"/>
    <x v="1"/>
    <x v="20"/>
    <x v="1"/>
    <x v="6"/>
    <x v="1"/>
    <x v="399"/>
    <x v="1"/>
    <x v="37"/>
    <x v="332"/>
    <x v="1"/>
  </r>
  <r>
    <x v="446"/>
    <x v="446"/>
    <x v="5"/>
    <x v="24"/>
    <x v="2"/>
    <x v="0"/>
    <x v="446"/>
    <x v="1"/>
    <x v="0"/>
    <x v="21"/>
    <x v="2"/>
    <x v="9"/>
    <x v="0"/>
    <x v="400"/>
    <x v="2"/>
    <x v="14"/>
    <x v="333"/>
    <x v="74"/>
  </r>
  <r>
    <x v="447"/>
    <x v="447"/>
    <x v="9"/>
    <x v="14"/>
    <x v="0"/>
    <x v="0"/>
    <x v="447"/>
    <x v="2"/>
    <x v="1"/>
    <x v="22"/>
    <x v="3"/>
    <x v="9"/>
    <x v="1"/>
    <x v="401"/>
    <x v="3"/>
    <x v="9"/>
    <x v="300"/>
    <x v="1"/>
  </r>
  <r>
    <x v="448"/>
    <x v="448"/>
    <x v="10"/>
    <x v="14"/>
    <x v="1"/>
    <x v="0"/>
    <x v="448"/>
    <x v="0"/>
    <x v="2"/>
    <x v="23"/>
    <x v="4"/>
    <x v="12"/>
    <x v="0"/>
    <x v="402"/>
    <x v="4"/>
    <x v="18"/>
    <x v="334"/>
    <x v="42"/>
  </r>
  <r>
    <x v="449"/>
    <x v="449"/>
    <x v="39"/>
    <x v="2"/>
    <x v="1"/>
    <x v="0"/>
    <x v="449"/>
    <x v="0"/>
    <x v="8"/>
    <x v="24"/>
    <x v="5"/>
    <x v="4"/>
    <x v="1"/>
    <x v="403"/>
    <x v="5"/>
    <x v="39"/>
    <x v="335"/>
    <x v="20"/>
  </r>
  <r>
    <x v="450"/>
    <x v="450"/>
    <x v="11"/>
    <x v="27"/>
    <x v="0"/>
    <x v="1"/>
    <x v="450"/>
    <x v="0"/>
    <x v="0"/>
    <x v="25"/>
    <x v="0"/>
    <x v="12"/>
    <x v="0"/>
    <x v="404"/>
    <x v="0"/>
    <x v="23"/>
    <x v="274"/>
    <x v="82"/>
  </r>
  <r>
    <x v="451"/>
    <x v="451"/>
    <x v="5"/>
    <x v="26"/>
    <x v="1"/>
    <x v="0"/>
    <x v="451"/>
    <x v="1"/>
    <x v="1"/>
    <x v="26"/>
    <x v="1"/>
    <x v="5"/>
    <x v="1"/>
    <x v="405"/>
    <x v="1"/>
    <x v="15"/>
    <x v="336"/>
    <x v="29"/>
  </r>
  <r>
    <x v="452"/>
    <x v="452"/>
    <x v="12"/>
    <x v="7"/>
    <x v="0"/>
    <x v="0"/>
    <x v="452"/>
    <x v="2"/>
    <x v="2"/>
    <x v="27"/>
    <x v="2"/>
    <x v="11"/>
    <x v="0"/>
    <x v="406"/>
    <x v="2"/>
    <x v="17"/>
    <x v="195"/>
    <x v="85"/>
  </r>
  <r>
    <x v="453"/>
    <x v="453"/>
    <x v="10"/>
    <x v="26"/>
    <x v="1"/>
    <x v="0"/>
    <x v="453"/>
    <x v="0"/>
    <x v="1"/>
    <x v="0"/>
    <x v="3"/>
    <x v="2"/>
    <x v="1"/>
    <x v="407"/>
    <x v="3"/>
    <x v="15"/>
    <x v="146"/>
    <x v="52"/>
  </r>
  <r>
    <x v="454"/>
    <x v="454"/>
    <x v="4"/>
    <x v="21"/>
    <x v="1"/>
    <x v="0"/>
    <x v="454"/>
    <x v="1"/>
    <x v="0"/>
    <x v="1"/>
    <x v="0"/>
    <x v="4"/>
    <x v="1"/>
    <x v="408"/>
    <x v="0"/>
    <x v="4"/>
    <x v="215"/>
    <x v="52"/>
  </r>
  <r>
    <x v="455"/>
    <x v="455"/>
    <x v="13"/>
    <x v="28"/>
    <x v="0"/>
    <x v="0"/>
    <x v="455"/>
    <x v="2"/>
    <x v="8"/>
    <x v="13"/>
    <x v="1"/>
    <x v="5"/>
    <x v="1"/>
    <x v="409"/>
    <x v="1"/>
    <x v="15"/>
    <x v="337"/>
    <x v="9"/>
  </r>
  <r>
    <x v="456"/>
    <x v="456"/>
    <x v="14"/>
    <x v="8"/>
    <x v="1"/>
    <x v="1"/>
    <x v="456"/>
    <x v="0"/>
    <x v="1"/>
    <x v="14"/>
    <x v="2"/>
    <x v="9"/>
    <x v="1"/>
    <x v="410"/>
    <x v="2"/>
    <x v="14"/>
    <x v="20"/>
    <x v="74"/>
  </r>
  <r>
    <x v="457"/>
    <x v="457"/>
    <x v="15"/>
    <x v="29"/>
    <x v="1"/>
    <x v="0"/>
    <x v="457"/>
    <x v="1"/>
    <x v="1"/>
    <x v="15"/>
    <x v="3"/>
    <x v="4"/>
    <x v="1"/>
    <x v="411"/>
    <x v="3"/>
    <x v="5"/>
    <x v="338"/>
    <x v="53"/>
  </r>
  <r>
    <x v="458"/>
    <x v="458"/>
    <x v="16"/>
    <x v="9"/>
    <x v="0"/>
    <x v="0"/>
    <x v="458"/>
    <x v="2"/>
    <x v="1"/>
    <x v="16"/>
    <x v="0"/>
    <x v="3"/>
    <x v="0"/>
    <x v="412"/>
    <x v="0"/>
    <x v="12"/>
    <x v="219"/>
    <x v="20"/>
  </r>
  <r>
    <x v="459"/>
    <x v="459"/>
    <x v="17"/>
    <x v="28"/>
    <x v="1"/>
    <x v="0"/>
    <x v="459"/>
    <x v="0"/>
    <x v="0"/>
    <x v="6"/>
    <x v="1"/>
    <x v="6"/>
    <x v="1"/>
    <x v="413"/>
    <x v="1"/>
    <x v="37"/>
    <x v="232"/>
    <x v="46"/>
  </r>
  <r>
    <x v="460"/>
    <x v="460"/>
    <x v="18"/>
    <x v="0"/>
    <x v="0"/>
    <x v="0"/>
    <x v="460"/>
    <x v="1"/>
    <x v="8"/>
    <x v="7"/>
    <x v="2"/>
    <x v="9"/>
    <x v="0"/>
    <x v="414"/>
    <x v="2"/>
    <x v="14"/>
    <x v="339"/>
    <x v="12"/>
  </r>
  <r>
    <x v="461"/>
    <x v="461"/>
    <x v="19"/>
    <x v="13"/>
    <x v="1"/>
    <x v="0"/>
    <x v="461"/>
    <x v="2"/>
    <x v="1"/>
    <x v="8"/>
    <x v="3"/>
    <x v="4"/>
    <x v="1"/>
    <x v="415"/>
    <x v="3"/>
    <x v="5"/>
    <x v="247"/>
    <x v="59"/>
  </r>
  <r>
    <x v="462"/>
    <x v="462"/>
    <x v="20"/>
    <x v="5"/>
    <x v="0"/>
    <x v="0"/>
    <x v="462"/>
    <x v="0"/>
    <x v="1"/>
    <x v="18"/>
    <x v="0"/>
    <x v="7"/>
    <x v="0"/>
    <x v="416"/>
    <x v="0"/>
    <x v="10"/>
    <x v="340"/>
    <x v="1"/>
  </r>
  <r>
    <x v="463"/>
    <x v="463"/>
    <x v="21"/>
    <x v="26"/>
    <x v="1"/>
    <x v="0"/>
    <x v="463"/>
    <x v="1"/>
    <x v="2"/>
    <x v="19"/>
    <x v="1"/>
    <x v="12"/>
    <x v="1"/>
    <x v="417"/>
    <x v="1"/>
    <x v="28"/>
    <x v="37"/>
    <x v="17"/>
  </r>
  <r>
    <x v="464"/>
    <x v="464"/>
    <x v="22"/>
    <x v="0"/>
    <x v="2"/>
    <x v="0"/>
    <x v="464"/>
    <x v="2"/>
    <x v="2"/>
    <x v="20"/>
    <x v="2"/>
    <x v="9"/>
    <x v="0"/>
    <x v="418"/>
    <x v="2"/>
    <x v="14"/>
    <x v="46"/>
    <x v="79"/>
  </r>
  <r>
    <x v="465"/>
    <x v="465"/>
    <x v="23"/>
    <x v="19"/>
    <x v="0"/>
    <x v="0"/>
    <x v="465"/>
    <x v="0"/>
    <x v="8"/>
    <x v="21"/>
    <x v="3"/>
    <x v="4"/>
    <x v="1"/>
    <x v="419"/>
    <x v="3"/>
    <x v="5"/>
    <x v="311"/>
    <x v="3"/>
  </r>
  <r>
    <x v="466"/>
    <x v="466"/>
    <x v="24"/>
    <x v="7"/>
    <x v="1"/>
    <x v="0"/>
    <x v="466"/>
    <x v="1"/>
    <x v="0"/>
    <x v="22"/>
    <x v="4"/>
    <x v="6"/>
    <x v="0"/>
    <x v="420"/>
    <x v="4"/>
    <x v="26"/>
    <x v="341"/>
    <x v="26"/>
  </r>
  <r>
    <x v="467"/>
    <x v="467"/>
    <x v="25"/>
    <x v="21"/>
    <x v="1"/>
    <x v="0"/>
    <x v="467"/>
    <x v="2"/>
    <x v="0"/>
    <x v="23"/>
    <x v="0"/>
    <x v="2"/>
    <x v="1"/>
    <x v="421"/>
    <x v="0"/>
    <x v="33"/>
    <x v="304"/>
    <x v="67"/>
  </r>
  <r>
    <x v="468"/>
    <x v="468"/>
    <x v="26"/>
    <x v="2"/>
    <x v="0"/>
    <x v="0"/>
    <x v="468"/>
    <x v="0"/>
    <x v="1"/>
    <x v="24"/>
    <x v="1"/>
    <x v="10"/>
    <x v="0"/>
    <x v="422"/>
    <x v="1"/>
    <x v="20"/>
    <x v="342"/>
    <x v="26"/>
  </r>
  <r>
    <x v="469"/>
    <x v="469"/>
    <x v="11"/>
    <x v="20"/>
    <x v="1"/>
    <x v="0"/>
    <x v="469"/>
    <x v="1"/>
    <x v="8"/>
    <x v="7"/>
    <x v="2"/>
    <x v="2"/>
    <x v="1"/>
    <x v="423"/>
    <x v="2"/>
    <x v="2"/>
    <x v="343"/>
    <x v="27"/>
  </r>
  <r>
    <x v="470"/>
    <x v="470"/>
    <x v="17"/>
    <x v="21"/>
    <x v="0"/>
    <x v="0"/>
    <x v="470"/>
    <x v="2"/>
    <x v="1"/>
    <x v="8"/>
    <x v="3"/>
    <x v="1"/>
    <x v="0"/>
    <x v="424"/>
    <x v="3"/>
    <x v="20"/>
    <x v="344"/>
    <x v="27"/>
  </r>
  <r>
    <x v="471"/>
    <x v="471"/>
    <x v="22"/>
    <x v="20"/>
    <x v="1"/>
    <x v="0"/>
    <x v="471"/>
    <x v="0"/>
    <x v="1"/>
    <x v="9"/>
    <x v="0"/>
    <x v="2"/>
    <x v="1"/>
    <x v="425"/>
    <x v="0"/>
    <x v="33"/>
    <x v="345"/>
    <x v="30"/>
  </r>
  <r>
    <x v="472"/>
    <x v="472"/>
    <x v="4"/>
    <x v="1"/>
    <x v="1"/>
    <x v="0"/>
    <x v="472"/>
    <x v="1"/>
    <x v="8"/>
    <x v="25"/>
    <x v="1"/>
    <x v="1"/>
    <x v="0"/>
    <x v="426"/>
    <x v="1"/>
    <x v="1"/>
    <x v="346"/>
    <x v="18"/>
  </r>
  <r>
    <x v="473"/>
    <x v="473"/>
    <x v="12"/>
    <x v="18"/>
    <x v="0"/>
    <x v="0"/>
    <x v="473"/>
    <x v="2"/>
    <x v="1"/>
    <x v="26"/>
    <x v="2"/>
    <x v="2"/>
    <x v="1"/>
    <x v="427"/>
    <x v="2"/>
    <x v="2"/>
    <x v="236"/>
    <x v="32"/>
  </r>
  <r>
    <x v="474"/>
    <x v="474"/>
    <x v="24"/>
    <x v="16"/>
    <x v="1"/>
    <x v="0"/>
    <x v="474"/>
    <x v="0"/>
    <x v="8"/>
    <x v="27"/>
    <x v="3"/>
    <x v="4"/>
    <x v="0"/>
    <x v="428"/>
    <x v="3"/>
    <x v="5"/>
    <x v="65"/>
    <x v="81"/>
  </r>
  <r>
    <x v="475"/>
    <x v="475"/>
    <x v="25"/>
    <x v="27"/>
    <x v="1"/>
    <x v="0"/>
    <x v="475"/>
    <x v="1"/>
    <x v="0"/>
    <x v="0"/>
    <x v="4"/>
    <x v="1"/>
    <x v="1"/>
    <x v="429"/>
    <x v="4"/>
    <x v="7"/>
    <x v="347"/>
    <x v="15"/>
  </r>
  <r>
    <x v="476"/>
    <x v="476"/>
    <x v="27"/>
    <x v="17"/>
    <x v="0"/>
    <x v="0"/>
    <x v="476"/>
    <x v="2"/>
    <x v="8"/>
    <x v="1"/>
    <x v="5"/>
    <x v="4"/>
    <x v="1"/>
    <x v="430"/>
    <x v="5"/>
    <x v="39"/>
    <x v="348"/>
    <x v="76"/>
  </r>
  <r>
    <x v="477"/>
    <x v="477"/>
    <x v="40"/>
    <x v="13"/>
    <x v="1"/>
    <x v="0"/>
    <x v="477"/>
    <x v="0"/>
    <x v="1"/>
    <x v="13"/>
    <x v="0"/>
    <x v="5"/>
    <x v="1"/>
    <x v="431"/>
    <x v="0"/>
    <x v="30"/>
    <x v="349"/>
    <x v="17"/>
  </r>
  <r>
    <x v="478"/>
    <x v="478"/>
    <x v="28"/>
    <x v="25"/>
    <x v="0"/>
    <x v="1"/>
    <x v="478"/>
    <x v="1"/>
    <x v="8"/>
    <x v="14"/>
    <x v="1"/>
    <x v="3"/>
    <x v="1"/>
    <x v="432"/>
    <x v="1"/>
    <x v="13"/>
    <x v="350"/>
    <x v="25"/>
  </r>
  <r>
    <x v="479"/>
    <x v="479"/>
    <x v="29"/>
    <x v="17"/>
    <x v="1"/>
    <x v="0"/>
    <x v="479"/>
    <x v="2"/>
    <x v="8"/>
    <x v="15"/>
    <x v="2"/>
    <x v="9"/>
    <x v="1"/>
    <x v="433"/>
    <x v="2"/>
    <x v="14"/>
    <x v="349"/>
    <x v="35"/>
  </r>
  <r>
    <x v="480"/>
    <x v="480"/>
    <x v="30"/>
    <x v="6"/>
    <x v="0"/>
    <x v="0"/>
    <x v="480"/>
    <x v="0"/>
    <x v="2"/>
    <x v="16"/>
    <x v="3"/>
    <x v="9"/>
    <x v="0"/>
    <x v="434"/>
    <x v="3"/>
    <x v="9"/>
    <x v="87"/>
    <x v="69"/>
  </r>
  <r>
    <x v="481"/>
    <x v="481"/>
    <x v="31"/>
    <x v="9"/>
    <x v="1"/>
    <x v="0"/>
    <x v="481"/>
    <x v="1"/>
    <x v="8"/>
    <x v="6"/>
    <x v="0"/>
    <x v="4"/>
    <x v="1"/>
    <x v="435"/>
    <x v="0"/>
    <x v="4"/>
    <x v="351"/>
    <x v="20"/>
  </r>
  <r>
    <x v="482"/>
    <x v="482"/>
    <x v="32"/>
    <x v="29"/>
    <x v="1"/>
    <x v="0"/>
    <x v="482"/>
    <x v="2"/>
    <x v="0"/>
    <x v="7"/>
    <x v="1"/>
    <x v="14"/>
    <x v="0"/>
    <x v="436"/>
    <x v="1"/>
    <x v="3"/>
    <x v="25"/>
    <x v="11"/>
  </r>
  <r>
    <x v="483"/>
    <x v="483"/>
    <x v="33"/>
    <x v="14"/>
    <x v="0"/>
    <x v="0"/>
    <x v="483"/>
    <x v="0"/>
    <x v="0"/>
    <x v="8"/>
    <x v="2"/>
    <x v="11"/>
    <x v="1"/>
    <x v="437"/>
    <x v="2"/>
    <x v="17"/>
    <x v="116"/>
    <x v="66"/>
  </r>
  <r>
    <x v="484"/>
    <x v="484"/>
    <x v="16"/>
    <x v="22"/>
    <x v="1"/>
    <x v="1"/>
    <x v="484"/>
    <x v="1"/>
    <x v="0"/>
    <x v="18"/>
    <x v="3"/>
    <x v="5"/>
    <x v="0"/>
    <x v="438"/>
    <x v="3"/>
    <x v="6"/>
    <x v="287"/>
    <x v="7"/>
  </r>
  <r>
    <x v="485"/>
    <x v="485"/>
    <x v="17"/>
    <x v="10"/>
    <x v="0"/>
    <x v="0"/>
    <x v="485"/>
    <x v="2"/>
    <x v="8"/>
    <x v="19"/>
    <x v="4"/>
    <x v="4"/>
    <x v="1"/>
    <x v="439"/>
    <x v="4"/>
    <x v="41"/>
    <x v="352"/>
    <x v="30"/>
  </r>
  <r>
    <x v="486"/>
    <x v="486"/>
    <x v="18"/>
    <x v="8"/>
    <x v="1"/>
    <x v="0"/>
    <x v="486"/>
    <x v="0"/>
    <x v="0"/>
    <x v="20"/>
    <x v="0"/>
    <x v="1"/>
    <x v="0"/>
    <x v="440"/>
    <x v="0"/>
    <x v="21"/>
    <x v="226"/>
    <x v="21"/>
  </r>
  <r>
    <x v="487"/>
    <x v="487"/>
    <x v="19"/>
    <x v="8"/>
    <x v="0"/>
    <x v="0"/>
    <x v="487"/>
    <x v="1"/>
    <x v="8"/>
    <x v="21"/>
    <x v="1"/>
    <x v="7"/>
    <x v="1"/>
    <x v="441"/>
    <x v="1"/>
    <x v="6"/>
    <x v="145"/>
    <x v="4"/>
  </r>
  <r>
    <x v="488"/>
    <x v="488"/>
    <x v="20"/>
    <x v="23"/>
    <x v="1"/>
    <x v="0"/>
    <x v="488"/>
    <x v="2"/>
    <x v="0"/>
    <x v="22"/>
    <x v="2"/>
    <x v="11"/>
    <x v="0"/>
    <x v="442"/>
    <x v="2"/>
    <x v="17"/>
    <x v="202"/>
    <x v="79"/>
  </r>
  <r>
    <x v="489"/>
    <x v="489"/>
    <x v="21"/>
    <x v="20"/>
    <x v="2"/>
    <x v="0"/>
    <x v="489"/>
    <x v="0"/>
    <x v="2"/>
    <x v="23"/>
    <x v="3"/>
    <x v="5"/>
    <x v="1"/>
    <x v="443"/>
    <x v="3"/>
    <x v="6"/>
    <x v="353"/>
    <x v="13"/>
  </r>
  <r>
    <x v="490"/>
    <x v="490"/>
    <x v="22"/>
    <x v="21"/>
    <x v="0"/>
    <x v="0"/>
    <x v="490"/>
    <x v="1"/>
    <x v="1"/>
    <x v="24"/>
    <x v="0"/>
    <x v="4"/>
    <x v="0"/>
    <x v="444"/>
    <x v="0"/>
    <x v="4"/>
    <x v="354"/>
    <x v="67"/>
  </r>
  <r>
    <x v="491"/>
    <x v="491"/>
    <x v="23"/>
    <x v="0"/>
    <x v="1"/>
    <x v="0"/>
    <x v="491"/>
    <x v="2"/>
    <x v="8"/>
    <x v="7"/>
    <x v="1"/>
    <x v="14"/>
    <x v="1"/>
    <x v="445"/>
    <x v="1"/>
    <x v="3"/>
    <x v="145"/>
    <x v="21"/>
  </r>
  <r>
    <x v="492"/>
    <x v="492"/>
    <x v="24"/>
    <x v="11"/>
    <x v="1"/>
    <x v="0"/>
    <x v="492"/>
    <x v="0"/>
    <x v="1"/>
    <x v="8"/>
    <x v="2"/>
    <x v="4"/>
    <x v="0"/>
    <x v="446"/>
    <x v="2"/>
    <x v="35"/>
    <x v="144"/>
    <x v="80"/>
  </r>
  <r>
    <x v="493"/>
    <x v="493"/>
    <x v="25"/>
    <x v="1"/>
    <x v="0"/>
    <x v="0"/>
    <x v="493"/>
    <x v="1"/>
    <x v="2"/>
    <x v="9"/>
    <x v="3"/>
    <x v="2"/>
    <x v="1"/>
    <x v="447"/>
    <x v="3"/>
    <x v="15"/>
    <x v="331"/>
    <x v="55"/>
  </r>
  <r>
    <x v="494"/>
    <x v="494"/>
    <x v="37"/>
    <x v="15"/>
    <x v="1"/>
    <x v="0"/>
    <x v="494"/>
    <x v="2"/>
    <x v="0"/>
    <x v="25"/>
    <x v="4"/>
    <x v="8"/>
    <x v="0"/>
    <x v="448"/>
    <x v="4"/>
    <x v="6"/>
    <x v="355"/>
    <x v="42"/>
  </r>
  <r>
    <x v="495"/>
    <x v="495"/>
    <x v="1"/>
    <x v="12"/>
    <x v="0"/>
    <x v="0"/>
    <x v="495"/>
    <x v="0"/>
    <x v="0"/>
    <x v="26"/>
    <x v="5"/>
    <x v="4"/>
    <x v="1"/>
    <x v="449"/>
    <x v="5"/>
    <x v="39"/>
    <x v="215"/>
    <x v="84"/>
  </r>
  <r>
    <x v="496"/>
    <x v="496"/>
    <x v="2"/>
    <x v="5"/>
    <x v="1"/>
    <x v="0"/>
    <x v="496"/>
    <x v="1"/>
    <x v="0"/>
    <x v="27"/>
    <x v="0"/>
    <x v="2"/>
    <x v="0"/>
    <x v="450"/>
    <x v="0"/>
    <x v="33"/>
    <x v="135"/>
    <x v="3"/>
  </r>
  <r>
    <x v="497"/>
    <x v="497"/>
    <x v="3"/>
    <x v="20"/>
    <x v="1"/>
    <x v="0"/>
    <x v="497"/>
    <x v="2"/>
    <x v="0"/>
    <x v="0"/>
    <x v="1"/>
    <x v="7"/>
    <x v="1"/>
    <x v="451"/>
    <x v="1"/>
    <x v="6"/>
    <x v="356"/>
    <x v="29"/>
  </r>
  <r>
    <x v="498"/>
    <x v="498"/>
    <x v="4"/>
    <x v="1"/>
    <x v="0"/>
    <x v="0"/>
    <x v="498"/>
    <x v="0"/>
    <x v="0"/>
    <x v="1"/>
    <x v="2"/>
    <x v="4"/>
    <x v="1"/>
    <x v="452"/>
    <x v="2"/>
    <x v="35"/>
    <x v="357"/>
    <x v="62"/>
  </r>
  <r>
    <x v="499"/>
    <x v="499"/>
    <x v="5"/>
    <x v="3"/>
    <x v="1"/>
    <x v="0"/>
    <x v="499"/>
    <x v="0"/>
    <x v="1"/>
    <x v="13"/>
    <x v="0"/>
    <x v="6"/>
    <x v="0"/>
    <x v="453"/>
    <x v="0"/>
    <x v="8"/>
    <x v="133"/>
    <x v="46"/>
  </r>
  <r>
    <x v="500"/>
    <x v="500"/>
    <x v="37"/>
    <x v="19"/>
    <x v="0"/>
    <x v="0"/>
    <x v="500"/>
    <x v="0"/>
    <x v="0"/>
    <x v="14"/>
    <x v="1"/>
    <x v="12"/>
    <x v="1"/>
    <x v="454"/>
    <x v="1"/>
    <x v="28"/>
    <x v="358"/>
    <x v="21"/>
  </r>
  <r>
    <x v="501"/>
    <x v="501"/>
    <x v="1"/>
    <x v="21"/>
    <x v="1"/>
    <x v="0"/>
    <x v="501"/>
    <x v="1"/>
    <x v="1"/>
    <x v="15"/>
    <x v="2"/>
    <x v="9"/>
    <x v="0"/>
    <x v="455"/>
    <x v="2"/>
    <x v="14"/>
    <x v="248"/>
    <x v="47"/>
  </r>
  <r>
    <x v="502"/>
    <x v="502"/>
    <x v="2"/>
    <x v="5"/>
    <x v="2"/>
    <x v="1"/>
    <x v="502"/>
    <x v="2"/>
    <x v="2"/>
    <x v="16"/>
    <x v="3"/>
    <x v="3"/>
    <x v="1"/>
    <x v="456"/>
    <x v="3"/>
    <x v="3"/>
    <x v="359"/>
    <x v="52"/>
  </r>
  <r>
    <x v="503"/>
    <x v="503"/>
    <x v="3"/>
    <x v="17"/>
    <x v="0"/>
    <x v="0"/>
    <x v="503"/>
    <x v="0"/>
    <x v="3"/>
    <x v="6"/>
    <x v="0"/>
    <x v="0"/>
    <x v="0"/>
    <x v="457"/>
    <x v="0"/>
    <x v="0"/>
    <x v="320"/>
    <x v="15"/>
  </r>
  <r>
    <x v="504"/>
    <x v="504"/>
    <x v="4"/>
    <x v="25"/>
    <x v="1"/>
    <x v="0"/>
    <x v="504"/>
    <x v="1"/>
    <x v="4"/>
    <x v="7"/>
    <x v="1"/>
    <x v="3"/>
    <x v="1"/>
    <x v="458"/>
    <x v="1"/>
    <x v="13"/>
    <x v="360"/>
    <x v="46"/>
  </r>
  <r>
    <x v="505"/>
    <x v="505"/>
    <x v="5"/>
    <x v="5"/>
    <x v="1"/>
    <x v="0"/>
    <x v="505"/>
    <x v="2"/>
    <x v="5"/>
    <x v="8"/>
    <x v="2"/>
    <x v="9"/>
    <x v="0"/>
    <x v="459"/>
    <x v="2"/>
    <x v="14"/>
    <x v="361"/>
    <x v="48"/>
  </r>
  <r>
    <x v="506"/>
    <x v="506"/>
    <x v="7"/>
    <x v="20"/>
    <x v="0"/>
    <x v="0"/>
    <x v="506"/>
    <x v="0"/>
    <x v="6"/>
    <x v="18"/>
    <x v="3"/>
    <x v="4"/>
    <x v="1"/>
    <x v="460"/>
    <x v="3"/>
    <x v="5"/>
    <x v="203"/>
    <x v="57"/>
  </r>
  <r>
    <x v="507"/>
    <x v="507"/>
    <x v="7"/>
    <x v="11"/>
    <x v="1"/>
    <x v="0"/>
    <x v="507"/>
    <x v="1"/>
    <x v="0"/>
    <x v="19"/>
    <x v="4"/>
    <x v="7"/>
    <x v="0"/>
    <x v="461"/>
    <x v="4"/>
    <x v="31"/>
    <x v="63"/>
    <x v="22"/>
  </r>
  <r>
    <x v="508"/>
    <x v="508"/>
    <x v="8"/>
    <x v="8"/>
    <x v="1"/>
    <x v="1"/>
    <x v="508"/>
    <x v="2"/>
    <x v="3"/>
    <x v="20"/>
    <x v="0"/>
    <x v="7"/>
    <x v="1"/>
    <x v="462"/>
    <x v="0"/>
    <x v="10"/>
    <x v="362"/>
    <x v="26"/>
  </r>
  <r>
    <x v="509"/>
    <x v="509"/>
    <x v="5"/>
    <x v="13"/>
    <x v="0"/>
    <x v="0"/>
    <x v="509"/>
    <x v="0"/>
    <x v="0"/>
    <x v="21"/>
    <x v="1"/>
    <x v="6"/>
    <x v="0"/>
    <x v="463"/>
    <x v="1"/>
    <x v="37"/>
    <x v="363"/>
    <x v="50"/>
  </r>
  <r>
    <x v="510"/>
    <x v="510"/>
    <x v="9"/>
    <x v="9"/>
    <x v="1"/>
    <x v="0"/>
    <x v="510"/>
    <x v="1"/>
    <x v="0"/>
    <x v="22"/>
    <x v="2"/>
    <x v="2"/>
    <x v="1"/>
    <x v="464"/>
    <x v="2"/>
    <x v="2"/>
    <x v="364"/>
    <x v="56"/>
  </r>
  <r>
    <x v="511"/>
    <x v="511"/>
    <x v="10"/>
    <x v="29"/>
    <x v="2"/>
    <x v="0"/>
    <x v="511"/>
    <x v="2"/>
    <x v="7"/>
    <x v="23"/>
    <x v="3"/>
    <x v="5"/>
    <x v="0"/>
    <x v="465"/>
    <x v="3"/>
    <x v="6"/>
    <x v="265"/>
    <x v="37"/>
  </r>
  <r>
    <x v="512"/>
    <x v="512"/>
    <x v="39"/>
    <x v="25"/>
    <x v="0"/>
    <x v="0"/>
    <x v="512"/>
    <x v="0"/>
    <x v="4"/>
    <x v="24"/>
    <x v="0"/>
    <x v="0"/>
    <x v="1"/>
    <x v="466"/>
    <x v="0"/>
    <x v="0"/>
    <x v="216"/>
    <x v="73"/>
  </r>
  <r>
    <x v="513"/>
    <x v="513"/>
    <x v="11"/>
    <x v="29"/>
    <x v="1"/>
    <x v="0"/>
    <x v="513"/>
    <x v="1"/>
    <x v="7"/>
    <x v="7"/>
    <x v="1"/>
    <x v="4"/>
    <x v="0"/>
    <x v="467"/>
    <x v="1"/>
    <x v="9"/>
    <x v="239"/>
    <x v="34"/>
  </r>
  <r>
    <x v="514"/>
    <x v="514"/>
    <x v="5"/>
    <x v="20"/>
    <x v="2"/>
    <x v="1"/>
    <x v="514"/>
    <x v="2"/>
    <x v="8"/>
    <x v="8"/>
    <x v="2"/>
    <x v="9"/>
    <x v="1"/>
    <x v="468"/>
    <x v="2"/>
    <x v="14"/>
    <x v="345"/>
    <x v="48"/>
  </r>
  <r>
    <x v="515"/>
    <x v="515"/>
    <x v="12"/>
    <x v="22"/>
    <x v="0"/>
    <x v="0"/>
    <x v="515"/>
    <x v="0"/>
    <x v="7"/>
    <x v="9"/>
    <x v="3"/>
    <x v="5"/>
    <x v="0"/>
    <x v="469"/>
    <x v="3"/>
    <x v="6"/>
    <x v="330"/>
    <x v="39"/>
  </r>
  <r>
    <x v="516"/>
    <x v="516"/>
    <x v="10"/>
    <x v="9"/>
    <x v="1"/>
    <x v="0"/>
    <x v="516"/>
    <x v="1"/>
    <x v="6"/>
    <x v="0"/>
    <x v="4"/>
    <x v="13"/>
    <x v="0"/>
    <x v="470"/>
    <x v="4"/>
    <x v="24"/>
    <x v="148"/>
    <x v="50"/>
  </r>
  <r>
    <x v="517"/>
    <x v="517"/>
    <x v="4"/>
    <x v="26"/>
    <x v="2"/>
    <x v="0"/>
    <x v="517"/>
    <x v="2"/>
    <x v="9"/>
    <x v="1"/>
    <x v="5"/>
    <x v="0"/>
    <x v="1"/>
    <x v="471"/>
    <x v="5"/>
    <x v="19"/>
    <x v="12"/>
    <x v="86"/>
  </r>
  <r>
    <x v="518"/>
    <x v="518"/>
    <x v="13"/>
    <x v="6"/>
    <x v="0"/>
    <x v="0"/>
    <x v="518"/>
    <x v="0"/>
    <x v="6"/>
    <x v="2"/>
    <x v="0"/>
    <x v="4"/>
    <x v="1"/>
    <x v="472"/>
    <x v="0"/>
    <x v="4"/>
    <x v="365"/>
    <x v="26"/>
  </r>
  <r>
    <x v="519"/>
    <x v="519"/>
    <x v="14"/>
    <x v="17"/>
    <x v="1"/>
    <x v="0"/>
    <x v="519"/>
    <x v="1"/>
    <x v="9"/>
    <x v="3"/>
    <x v="1"/>
    <x v="2"/>
    <x v="1"/>
    <x v="473"/>
    <x v="1"/>
    <x v="22"/>
    <x v="204"/>
    <x v="70"/>
  </r>
  <r>
    <x v="520"/>
    <x v="520"/>
    <x v="15"/>
    <x v="6"/>
    <x v="1"/>
    <x v="1"/>
    <x v="520"/>
    <x v="2"/>
    <x v="9"/>
    <x v="4"/>
    <x v="2"/>
    <x v="11"/>
    <x v="0"/>
    <x v="474"/>
    <x v="2"/>
    <x v="17"/>
    <x v="84"/>
    <x v="92"/>
  </r>
  <r>
    <x v="521"/>
    <x v="521"/>
    <x v="16"/>
    <x v="16"/>
    <x v="0"/>
    <x v="0"/>
    <x v="521"/>
    <x v="0"/>
    <x v="7"/>
    <x v="5"/>
    <x v="3"/>
    <x v="2"/>
    <x v="0"/>
    <x v="475"/>
    <x v="3"/>
    <x v="15"/>
    <x v="120"/>
    <x v="49"/>
  </r>
  <r>
    <x v="522"/>
    <x v="522"/>
    <x v="17"/>
    <x v="8"/>
    <x v="1"/>
    <x v="0"/>
    <x v="522"/>
    <x v="1"/>
    <x v="7"/>
    <x v="6"/>
    <x v="0"/>
    <x v="5"/>
    <x v="0"/>
    <x v="476"/>
    <x v="0"/>
    <x v="30"/>
    <x v="366"/>
    <x v="8"/>
  </r>
  <r>
    <x v="523"/>
    <x v="523"/>
    <x v="18"/>
    <x v="16"/>
    <x v="2"/>
    <x v="0"/>
    <x v="523"/>
    <x v="2"/>
    <x v="1"/>
    <x v="7"/>
    <x v="1"/>
    <x v="7"/>
    <x v="0"/>
    <x v="477"/>
    <x v="1"/>
    <x v="6"/>
    <x v="145"/>
    <x v="0"/>
  </r>
  <r>
    <x v="524"/>
    <x v="524"/>
    <x v="19"/>
    <x v="12"/>
    <x v="0"/>
    <x v="0"/>
    <x v="524"/>
    <x v="0"/>
    <x v="5"/>
    <x v="8"/>
    <x v="2"/>
    <x v="2"/>
    <x v="0"/>
    <x v="478"/>
    <x v="2"/>
    <x v="2"/>
    <x v="367"/>
    <x v="93"/>
  </r>
  <r>
    <x v="525"/>
    <x v="525"/>
    <x v="20"/>
    <x v="4"/>
    <x v="1"/>
    <x v="0"/>
    <x v="525"/>
    <x v="1"/>
    <x v="7"/>
    <x v="9"/>
    <x v="3"/>
    <x v="3"/>
    <x v="0"/>
    <x v="479"/>
    <x v="3"/>
    <x v="3"/>
    <x v="368"/>
    <x v="81"/>
  </r>
  <r>
    <x v="526"/>
    <x v="526"/>
    <x v="21"/>
    <x v="15"/>
    <x v="2"/>
    <x v="1"/>
    <x v="526"/>
    <x v="2"/>
    <x v="2"/>
    <x v="10"/>
    <x v="4"/>
    <x v="1"/>
    <x v="0"/>
    <x v="480"/>
    <x v="4"/>
    <x v="7"/>
    <x v="369"/>
    <x v="3"/>
  </r>
  <r>
    <x v="527"/>
    <x v="527"/>
    <x v="22"/>
    <x v="4"/>
    <x v="0"/>
    <x v="0"/>
    <x v="527"/>
    <x v="0"/>
    <x v="4"/>
    <x v="11"/>
    <x v="0"/>
    <x v="1"/>
    <x v="0"/>
    <x v="481"/>
    <x v="0"/>
    <x v="21"/>
    <x v="170"/>
    <x v="22"/>
  </r>
  <r>
    <x v="528"/>
    <x v="528"/>
    <x v="23"/>
    <x v="18"/>
    <x v="1"/>
    <x v="0"/>
    <x v="528"/>
    <x v="1"/>
    <x v="0"/>
    <x v="12"/>
    <x v="1"/>
    <x v="7"/>
    <x v="0"/>
    <x v="482"/>
    <x v="1"/>
    <x v="6"/>
    <x v="78"/>
    <x v="63"/>
  </r>
  <r>
    <x v="529"/>
    <x v="529"/>
    <x v="24"/>
    <x v="23"/>
    <x v="2"/>
    <x v="0"/>
    <x v="529"/>
    <x v="2"/>
    <x v="3"/>
    <x v="13"/>
    <x v="2"/>
    <x v="11"/>
    <x v="1"/>
    <x v="483"/>
    <x v="2"/>
    <x v="17"/>
    <x v="103"/>
    <x v="16"/>
  </r>
  <r>
    <x v="530"/>
    <x v="530"/>
    <x v="25"/>
    <x v="23"/>
    <x v="0"/>
    <x v="0"/>
    <x v="530"/>
    <x v="0"/>
    <x v="1"/>
    <x v="14"/>
    <x v="3"/>
    <x v="9"/>
    <x v="0"/>
    <x v="484"/>
    <x v="3"/>
    <x v="9"/>
    <x v="166"/>
    <x v="78"/>
  </r>
  <r>
    <x v="531"/>
    <x v="531"/>
    <x v="26"/>
    <x v="26"/>
    <x v="1"/>
    <x v="0"/>
    <x v="531"/>
    <x v="1"/>
    <x v="0"/>
    <x v="15"/>
    <x v="0"/>
    <x v="1"/>
    <x v="0"/>
    <x v="485"/>
    <x v="0"/>
    <x v="21"/>
    <x v="370"/>
    <x v="17"/>
  </r>
  <r>
    <x v="532"/>
    <x v="532"/>
    <x v="11"/>
    <x v="29"/>
    <x v="1"/>
    <x v="1"/>
    <x v="532"/>
    <x v="2"/>
    <x v="4"/>
    <x v="16"/>
    <x v="1"/>
    <x v="2"/>
    <x v="0"/>
    <x v="486"/>
    <x v="1"/>
    <x v="22"/>
    <x v="371"/>
    <x v="22"/>
  </r>
  <r>
    <x v="533"/>
    <x v="533"/>
    <x v="17"/>
    <x v="25"/>
    <x v="0"/>
    <x v="0"/>
    <x v="533"/>
    <x v="0"/>
    <x v="0"/>
    <x v="17"/>
    <x v="2"/>
    <x v="9"/>
    <x v="0"/>
    <x v="487"/>
    <x v="2"/>
    <x v="14"/>
    <x v="372"/>
    <x v="38"/>
  </r>
  <r>
    <x v="534"/>
    <x v="534"/>
    <x v="22"/>
    <x v="26"/>
    <x v="1"/>
    <x v="0"/>
    <x v="534"/>
    <x v="1"/>
    <x v="8"/>
    <x v="18"/>
    <x v="3"/>
    <x v="2"/>
    <x v="0"/>
    <x v="488"/>
    <x v="3"/>
    <x v="15"/>
    <x v="39"/>
    <x v="70"/>
  </r>
  <r>
    <x v="535"/>
    <x v="535"/>
    <x v="4"/>
    <x v="1"/>
    <x v="2"/>
    <x v="0"/>
    <x v="535"/>
    <x v="2"/>
    <x v="6"/>
    <x v="19"/>
    <x v="4"/>
    <x v="7"/>
    <x v="1"/>
    <x v="489"/>
    <x v="4"/>
    <x v="31"/>
    <x v="373"/>
    <x v="41"/>
  </r>
  <r>
    <x v="536"/>
    <x v="536"/>
    <x v="12"/>
    <x v="10"/>
    <x v="0"/>
    <x v="0"/>
    <x v="536"/>
    <x v="0"/>
    <x v="6"/>
    <x v="20"/>
    <x v="5"/>
    <x v="2"/>
    <x v="0"/>
    <x v="490"/>
    <x v="5"/>
    <x v="42"/>
    <x v="339"/>
    <x v="25"/>
  </r>
  <r>
    <x v="537"/>
    <x v="537"/>
    <x v="24"/>
    <x v="11"/>
    <x v="1"/>
    <x v="0"/>
    <x v="537"/>
    <x v="1"/>
    <x v="8"/>
    <x v="21"/>
    <x v="0"/>
    <x v="5"/>
    <x v="0"/>
    <x v="491"/>
    <x v="0"/>
    <x v="30"/>
    <x v="236"/>
    <x v="1"/>
  </r>
  <r>
    <x v="538"/>
    <x v="538"/>
    <x v="25"/>
    <x v="11"/>
    <x v="1"/>
    <x v="1"/>
    <x v="538"/>
    <x v="2"/>
    <x v="5"/>
    <x v="22"/>
    <x v="1"/>
    <x v="3"/>
    <x v="0"/>
    <x v="492"/>
    <x v="1"/>
    <x v="13"/>
    <x v="95"/>
    <x v="1"/>
  </r>
  <r>
    <x v="539"/>
    <x v="539"/>
    <x v="27"/>
    <x v="16"/>
    <x v="0"/>
    <x v="0"/>
    <x v="539"/>
    <x v="0"/>
    <x v="1"/>
    <x v="23"/>
    <x v="2"/>
    <x v="2"/>
    <x v="1"/>
    <x v="493"/>
    <x v="2"/>
    <x v="2"/>
    <x v="374"/>
    <x v="57"/>
  </r>
  <r>
    <x v="540"/>
    <x v="540"/>
    <x v="9"/>
    <x v="27"/>
    <x v="1"/>
    <x v="0"/>
    <x v="540"/>
    <x v="1"/>
    <x v="7"/>
    <x v="24"/>
    <x v="3"/>
    <x v="3"/>
    <x v="1"/>
    <x v="494"/>
    <x v="3"/>
    <x v="3"/>
    <x v="281"/>
    <x v="53"/>
  </r>
  <r>
    <x v="541"/>
    <x v="541"/>
    <x v="28"/>
    <x v="9"/>
    <x v="2"/>
    <x v="0"/>
    <x v="541"/>
    <x v="2"/>
    <x v="3"/>
    <x v="25"/>
    <x v="0"/>
    <x v="5"/>
    <x v="1"/>
    <x v="495"/>
    <x v="0"/>
    <x v="30"/>
    <x v="45"/>
    <x v="25"/>
  </r>
  <r>
    <x v="542"/>
    <x v="542"/>
    <x v="29"/>
    <x v="18"/>
    <x v="0"/>
    <x v="0"/>
    <x v="542"/>
    <x v="0"/>
    <x v="3"/>
    <x v="26"/>
    <x v="1"/>
    <x v="12"/>
    <x v="1"/>
    <x v="496"/>
    <x v="1"/>
    <x v="28"/>
    <x v="295"/>
    <x v="28"/>
  </r>
  <r>
    <x v="543"/>
    <x v="543"/>
    <x v="30"/>
    <x v="17"/>
    <x v="1"/>
    <x v="0"/>
    <x v="543"/>
    <x v="1"/>
    <x v="9"/>
    <x v="27"/>
    <x v="2"/>
    <x v="11"/>
    <x v="1"/>
    <x v="497"/>
    <x v="2"/>
    <x v="17"/>
    <x v="188"/>
    <x v="92"/>
  </r>
  <r>
    <x v="544"/>
    <x v="544"/>
    <x v="31"/>
    <x v="1"/>
    <x v="2"/>
    <x v="1"/>
    <x v="544"/>
    <x v="2"/>
    <x v="6"/>
    <x v="0"/>
    <x v="3"/>
    <x v="2"/>
    <x v="1"/>
    <x v="498"/>
    <x v="3"/>
    <x v="15"/>
    <x v="375"/>
    <x v="13"/>
  </r>
  <r>
    <x v="545"/>
    <x v="545"/>
    <x v="32"/>
    <x v="18"/>
    <x v="0"/>
    <x v="0"/>
    <x v="545"/>
    <x v="0"/>
    <x v="0"/>
    <x v="1"/>
    <x v="0"/>
    <x v="14"/>
    <x v="0"/>
    <x v="499"/>
    <x v="0"/>
    <x v="31"/>
    <x v="376"/>
    <x v="0"/>
  </r>
  <r>
    <x v="546"/>
    <x v="546"/>
    <x v="33"/>
    <x v="27"/>
    <x v="1"/>
    <x v="0"/>
    <x v="546"/>
    <x v="1"/>
    <x v="7"/>
    <x v="2"/>
    <x v="1"/>
    <x v="5"/>
    <x v="1"/>
    <x v="500"/>
    <x v="1"/>
    <x v="15"/>
    <x v="38"/>
    <x v="5"/>
  </r>
  <r>
    <x v="547"/>
    <x v="547"/>
    <x v="34"/>
    <x v="20"/>
    <x v="1"/>
    <x v="0"/>
    <x v="547"/>
    <x v="2"/>
    <x v="5"/>
    <x v="3"/>
    <x v="2"/>
    <x v="9"/>
    <x v="0"/>
    <x v="501"/>
    <x v="2"/>
    <x v="14"/>
    <x v="24"/>
    <x v="58"/>
  </r>
  <r>
    <x v="548"/>
    <x v="548"/>
    <x v="35"/>
    <x v="12"/>
    <x v="0"/>
    <x v="0"/>
    <x v="548"/>
    <x v="0"/>
    <x v="2"/>
    <x v="4"/>
    <x v="3"/>
    <x v="3"/>
    <x v="1"/>
    <x v="502"/>
    <x v="3"/>
    <x v="3"/>
    <x v="29"/>
    <x v="29"/>
  </r>
  <r>
    <x v="549"/>
    <x v="549"/>
    <x v="36"/>
    <x v="26"/>
    <x v="1"/>
    <x v="0"/>
    <x v="549"/>
    <x v="0"/>
    <x v="3"/>
    <x v="5"/>
    <x v="0"/>
    <x v="6"/>
    <x v="0"/>
    <x v="503"/>
    <x v="0"/>
    <x v="8"/>
    <x v="377"/>
    <x v="37"/>
  </r>
  <r>
    <x v="550"/>
    <x v="550"/>
    <x v="37"/>
    <x v="8"/>
    <x v="0"/>
    <x v="0"/>
    <x v="550"/>
    <x v="0"/>
    <x v="0"/>
    <x v="6"/>
    <x v="1"/>
    <x v="3"/>
    <x v="1"/>
    <x v="504"/>
    <x v="1"/>
    <x v="13"/>
    <x v="283"/>
    <x v="5"/>
  </r>
  <r>
    <x v="551"/>
    <x v="551"/>
    <x v="1"/>
    <x v="26"/>
    <x v="1"/>
    <x v="0"/>
    <x v="551"/>
    <x v="1"/>
    <x v="1"/>
    <x v="7"/>
    <x v="2"/>
    <x v="11"/>
    <x v="0"/>
    <x v="505"/>
    <x v="2"/>
    <x v="17"/>
    <x v="378"/>
    <x v="68"/>
  </r>
  <r>
    <x v="552"/>
    <x v="552"/>
    <x v="2"/>
    <x v="17"/>
    <x v="2"/>
    <x v="1"/>
    <x v="552"/>
    <x v="2"/>
    <x v="2"/>
    <x v="8"/>
    <x v="3"/>
    <x v="2"/>
    <x v="1"/>
    <x v="506"/>
    <x v="3"/>
    <x v="15"/>
    <x v="379"/>
    <x v="87"/>
  </r>
  <r>
    <x v="553"/>
    <x v="553"/>
    <x v="3"/>
    <x v="6"/>
    <x v="0"/>
    <x v="0"/>
    <x v="553"/>
    <x v="0"/>
    <x v="3"/>
    <x v="9"/>
    <x v="4"/>
    <x v="1"/>
    <x v="0"/>
    <x v="507"/>
    <x v="4"/>
    <x v="7"/>
    <x v="361"/>
    <x v="34"/>
  </r>
  <r>
    <x v="554"/>
    <x v="554"/>
    <x v="4"/>
    <x v="0"/>
    <x v="1"/>
    <x v="0"/>
    <x v="554"/>
    <x v="1"/>
    <x v="4"/>
    <x v="10"/>
    <x v="0"/>
    <x v="7"/>
    <x v="1"/>
    <x v="508"/>
    <x v="0"/>
    <x v="10"/>
    <x v="380"/>
    <x v="31"/>
  </r>
  <r>
    <x v="555"/>
    <x v="555"/>
    <x v="5"/>
    <x v="3"/>
    <x v="1"/>
    <x v="0"/>
    <x v="555"/>
    <x v="2"/>
    <x v="5"/>
    <x v="11"/>
    <x v="1"/>
    <x v="7"/>
    <x v="0"/>
    <x v="509"/>
    <x v="1"/>
    <x v="6"/>
    <x v="204"/>
    <x v="31"/>
  </r>
  <r>
    <x v="556"/>
    <x v="556"/>
    <x v="7"/>
    <x v="25"/>
    <x v="0"/>
    <x v="0"/>
    <x v="556"/>
    <x v="0"/>
    <x v="6"/>
    <x v="12"/>
    <x v="2"/>
    <x v="2"/>
    <x v="1"/>
    <x v="510"/>
    <x v="2"/>
    <x v="2"/>
    <x v="156"/>
    <x v="75"/>
  </r>
  <r>
    <x v="557"/>
    <x v="557"/>
    <x v="7"/>
    <x v="8"/>
    <x v="1"/>
    <x v="0"/>
    <x v="557"/>
    <x v="1"/>
    <x v="0"/>
    <x v="13"/>
    <x v="3"/>
    <x v="3"/>
    <x v="0"/>
    <x v="511"/>
    <x v="3"/>
    <x v="3"/>
    <x v="257"/>
    <x v="1"/>
  </r>
  <r>
    <x v="558"/>
    <x v="558"/>
    <x v="8"/>
    <x v="14"/>
    <x v="0"/>
    <x v="1"/>
    <x v="558"/>
    <x v="2"/>
    <x v="3"/>
    <x v="14"/>
    <x v="0"/>
    <x v="4"/>
    <x v="1"/>
    <x v="512"/>
    <x v="0"/>
    <x v="4"/>
    <x v="381"/>
    <x v="3"/>
  </r>
  <r>
    <x v="559"/>
    <x v="559"/>
    <x v="38"/>
    <x v="23"/>
    <x v="1"/>
    <x v="0"/>
    <x v="559"/>
    <x v="0"/>
    <x v="0"/>
    <x v="15"/>
    <x v="1"/>
    <x v="6"/>
    <x v="0"/>
    <x v="513"/>
    <x v="1"/>
    <x v="37"/>
    <x v="382"/>
    <x v="1"/>
  </r>
  <r>
    <x v="560"/>
    <x v="560"/>
    <x v="9"/>
    <x v="3"/>
    <x v="1"/>
    <x v="0"/>
    <x v="560"/>
    <x v="1"/>
    <x v="0"/>
    <x v="16"/>
    <x v="2"/>
    <x v="2"/>
    <x v="1"/>
    <x v="514"/>
    <x v="2"/>
    <x v="2"/>
    <x v="383"/>
    <x v="61"/>
  </r>
  <r>
    <x v="561"/>
    <x v="561"/>
    <x v="10"/>
    <x v="11"/>
    <x v="0"/>
    <x v="0"/>
    <x v="561"/>
    <x v="2"/>
    <x v="7"/>
    <x v="17"/>
    <x v="3"/>
    <x v="3"/>
    <x v="0"/>
    <x v="515"/>
    <x v="3"/>
    <x v="3"/>
    <x v="384"/>
    <x v="88"/>
  </r>
  <r>
    <x v="562"/>
    <x v="562"/>
    <x v="39"/>
    <x v="7"/>
    <x v="1"/>
    <x v="0"/>
    <x v="562"/>
    <x v="0"/>
    <x v="4"/>
    <x v="18"/>
    <x v="4"/>
    <x v="4"/>
    <x v="0"/>
    <x v="516"/>
    <x v="4"/>
    <x v="41"/>
    <x v="197"/>
    <x v="26"/>
  </r>
  <r>
    <x v="563"/>
    <x v="563"/>
    <x v="11"/>
    <x v="27"/>
    <x v="1"/>
    <x v="0"/>
    <x v="563"/>
    <x v="1"/>
    <x v="7"/>
    <x v="19"/>
    <x v="5"/>
    <x v="0"/>
    <x v="1"/>
    <x v="517"/>
    <x v="5"/>
    <x v="19"/>
    <x v="385"/>
    <x v="37"/>
  </r>
  <r>
    <x v="564"/>
    <x v="564"/>
    <x v="36"/>
    <x v="23"/>
    <x v="0"/>
    <x v="1"/>
    <x v="564"/>
    <x v="2"/>
    <x v="8"/>
    <x v="20"/>
    <x v="0"/>
    <x v="6"/>
    <x v="1"/>
    <x v="518"/>
    <x v="0"/>
    <x v="8"/>
    <x v="386"/>
    <x v="37"/>
  </r>
  <r>
    <x v="565"/>
    <x v="565"/>
    <x v="37"/>
    <x v="7"/>
    <x v="1"/>
    <x v="0"/>
    <x v="565"/>
    <x v="0"/>
    <x v="7"/>
    <x v="21"/>
    <x v="1"/>
    <x v="5"/>
    <x v="1"/>
    <x v="519"/>
    <x v="1"/>
    <x v="15"/>
    <x v="8"/>
    <x v="34"/>
  </r>
  <r>
    <x v="566"/>
    <x v="566"/>
    <x v="1"/>
    <x v="28"/>
    <x v="0"/>
    <x v="0"/>
    <x v="566"/>
    <x v="1"/>
    <x v="6"/>
    <x v="22"/>
    <x v="2"/>
    <x v="4"/>
    <x v="0"/>
    <x v="520"/>
    <x v="2"/>
    <x v="35"/>
    <x v="387"/>
    <x v="27"/>
  </r>
  <r>
    <x v="567"/>
    <x v="567"/>
    <x v="2"/>
    <x v="3"/>
    <x v="1"/>
    <x v="0"/>
    <x v="567"/>
    <x v="2"/>
    <x v="9"/>
    <x v="23"/>
    <x v="3"/>
    <x v="4"/>
    <x v="0"/>
    <x v="521"/>
    <x v="3"/>
    <x v="5"/>
    <x v="82"/>
    <x v="29"/>
  </r>
  <r>
    <x v="568"/>
    <x v="568"/>
    <x v="3"/>
    <x v="5"/>
    <x v="0"/>
    <x v="0"/>
    <x v="568"/>
    <x v="0"/>
    <x v="6"/>
    <x v="24"/>
    <x v="0"/>
    <x v="6"/>
    <x v="0"/>
    <x v="522"/>
    <x v="0"/>
    <x v="8"/>
    <x v="388"/>
    <x v="25"/>
  </r>
  <r>
    <x v="569"/>
    <x v="569"/>
    <x v="4"/>
    <x v="4"/>
    <x v="1"/>
    <x v="0"/>
    <x v="569"/>
    <x v="1"/>
    <x v="9"/>
    <x v="25"/>
    <x v="1"/>
    <x v="0"/>
    <x v="0"/>
    <x v="523"/>
    <x v="1"/>
    <x v="5"/>
    <x v="82"/>
    <x v="28"/>
  </r>
  <r>
    <x v="570"/>
    <x v="570"/>
    <x v="5"/>
    <x v="10"/>
    <x v="2"/>
    <x v="1"/>
    <x v="570"/>
    <x v="2"/>
    <x v="9"/>
    <x v="26"/>
    <x v="2"/>
    <x v="11"/>
    <x v="0"/>
    <x v="524"/>
    <x v="2"/>
    <x v="17"/>
    <x v="259"/>
    <x v="85"/>
  </r>
  <r>
    <x v="571"/>
    <x v="571"/>
    <x v="7"/>
    <x v="23"/>
    <x v="0"/>
    <x v="0"/>
    <x v="571"/>
    <x v="0"/>
    <x v="7"/>
    <x v="27"/>
    <x v="3"/>
    <x v="2"/>
    <x v="0"/>
    <x v="525"/>
    <x v="3"/>
    <x v="15"/>
    <x v="181"/>
    <x v="13"/>
  </r>
  <r>
    <x v="572"/>
    <x v="572"/>
    <x v="7"/>
    <x v="10"/>
    <x v="1"/>
    <x v="0"/>
    <x v="572"/>
    <x v="1"/>
    <x v="7"/>
    <x v="0"/>
    <x v="4"/>
    <x v="8"/>
    <x v="0"/>
    <x v="526"/>
    <x v="4"/>
    <x v="6"/>
    <x v="162"/>
    <x v="21"/>
  </r>
  <r>
    <x v="573"/>
    <x v="573"/>
    <x v="8"/>
    <x v="12"/>
    <x v="1"/>
    <x v="0"/>
    <x v="573"/>
    <x v="2"/>
    <x v="1"/>
    <x v="1"/>
    <x v="0"/>
    <x v="4"/>
    <x v="0"/>
    <x v="527"/>
    <x v="0"/>
    <x v="4"/>
    <x v="106"/>
    <x v="9"/>
  </r>
  <r>
    <x v="574"/>
    <x v="574"/>
    <x v="5"/>
    <x v="9"/>
    <x v="0"/>
    <x v="0"/>
    <x v="574"/>
    <x v="0"/>
    <x v="5"/>
    <x v="13"/>
    <x v="1"/>
    <x v="7"/>
    <x v="0"/>
    <x v="528"/>
    <x v="1"/>
    <x v="6"/>
    <x v="389"/>
    <x v="26"/>
  </r>
  <r>
    <x v="575"/>
    <x v="575"/>
    <x v="9"/>
    <x v="10"/>
    <x v="1"/>
    <x v="0"/>
    <x v="575"/>
    <x v="1"/>
    <x v="7"/>
    <x v="14"/>
    <x v="2"/>
    <x v="2"/>
    <x v="1"/>
    <x v="529"/>
    <x v="2"/>
    <x v="2"/>
    <x v="390"/>
    <x v="94"/>
  </r>
  <r>
    <x v="576"/>
    <x v="576"/>
    <x v="10"/>
    <x v="13"/>
    <x v="0"/>
    <x v="1"/>
    <x v="576"/>
    <x v="2"/>
    <x v="2"/>
    <x v="15"/>
    <x v="3"/>
    <x v="5"/>
    <x v="0"/>
    <x v="530"/>
    <x v="3"/>
    <x v="6"/>
    <x v="391"/>
    <x v="10"/>
  </r>
  <r>
    <x v="577"/>
    <x v="577"/>
    <x v="39"/>
    <x v="29"/>
    <x v="1"/>
    <x v="0"/>
    <x v="577"/>
    <x v="0"/>
    <x v="4"/>
    <x v="16"/>
    <x v="0"/>
    <x v="3"/>
    <x v="0"/>
    <x v="531"/>
    <x v="0"/>
    <x v="12"/>
    <x v="38"/>
    <x v="25"/>
  </r>
  <r>
    <x v="578"/>
    <x v="578"/>
    <x v="11"/>
    <x v="1"/>
    <x v="1"/>
    <x v="0"/>
    <x v="578"/>
    <x v="1"/>
    <x v="0"/>
    <x v="6"/>
    <x v="1"/>
    <x v="12"/>
    <x v="0"/>
    <x v="532"/>
    <x v="1"/>
    <x v="28"/>
    <x v="392"/>
    <x v="3"/>
  </r>
  <r>
    <x v="579"/>
    <x v="579"/>
    <x v="5"/>
    <x v="15"/>
    <x v="0"/>
    <x v="0"/>
    <x v="579"/>
    <x v="2"/>
    <x v="3"/>
    <x v="7"/>
    <x v="2"/>
    <x v="9"/>
    <x v="0"/>
    <x v="533"/>
    <x v="2"/>
    <x v="14"/>
    <x v="341"/>
    <x v="60"/>
  </r>
  <r>
    <x v="580"/>
    <x v="580"/>
    <x v="12"/>
    <x v="4"/>
    <x v="1"/>
    <x v="0"/>
    <x v="580"/>
    <x v="0"/>
    <x v="1"/>
    <x v="8"/>
    <x v="3"/>
    <x v="9"/>
    <x v="0"/>
    <x v="534"/>
    <x v="3"/>
    <x v="9"/>
    <x v="354"/>
    <x v="81"/>
  </r>
  <r>
    <x v="581"/>
    <x v="581"/>
    <x v="10"/>
    <x v="18"/>
    <x v="1"/>
    <x v="0"/>
    <x v="581"/>
    <x v="1"/>
    <x v="0"/>
    <x v="18"/>
    <x v="4"/>
    <x v="14"/>
    <x v="1"/>
    <x v="535"/>
    <x v="4"/>
    <x v="32"/>
    <x v="279"/>
    <x v="82"/>
  </r>
  <r>
    <x v="582"/>
    <x v="582"/>
    <x v="4"/>
    <x v="20"/>
    <x v="0"/>
    <x v="1"/>
    <x v="582"/>
    <x v="2"/>
    <x v="4"/>
    <x v="19"/>
    <x v="5"/>
    <x v="5"/>
    <x v="0"/>
    <x v="536"/>
    <x v="5"/>
    <x v="34"/>
    <x v="385"/>
    <x v="73"/>
  </r>
  <r>
    <x v="583"/>
    <x v="583"/>
    <x v="9"/>
    <x v="21"/>
    <x v="1"/>
    <x v="0"/>
    <x v="583"/>
    <x v="0"/>
    <x v="0"/>
    <x v="20"/>
    <x v="0"/>
    <x v="1"/>
    <x v="0"/>
    <x v="537"/>
    <x v="0"/>
    <x v="21"/>
    <x v="393"/>
    <x v="52"/>
  </r>
  <r>
    <x v="584"/>
    <x v="584"/>
    <x v="14"/>
    <x v="4"/>
    <x v="0"/>
    <x v="0"/>
    <x v="584"/>
    <x v="1"/>
    <x v="8"/>
    <x v="21"/>
    <x v="1"/>
    <x v="0"/>
    <x v="0"/>
    <x v="538"/>
    <x v="1"/>
    <x v="5"/>
    <x v="338"/>
    <x v="9"/>
  </r>
  <r>
    <x v="585"/>
    <x v="585"/>
    <x v="15"/>
    <x v="13"/>
    <x v="1"/>
    <x v="0"/>
    <x v="585"/>
    <x v="2"/>
    <x v="6"/>
    <x v="22"/>
    <x v="2"/>
    <x v="4"/>
    <x v="1"/>
    <x v="539"/>
    <x v="2"/>
    <x v="35"/>
    <x v="54"/>
    <x v="75"/>
  </r>
  <r>
    <x v="586"/>
    <x v="586"/>
    <x v="16"/>
    <x v="24"/>
    <x v="0"/>
    <x v="0"/>
    <x v="586"/>
    <x v="0"/>
    <x v="6"/>
    <x v="23"/>
    <x v="3"/>
    <x v="5"/>
    <x v="1"/>
    <x v="540"/>
    <x v="3"/>
    <x v="6"/>
    <x v="394"/>
    <x v="73"/>
  </r>
  <r>
    <x v="587"/>
    <x v="587"/>
    <x v="17"/>
    <x v="14"/>
    <x v="1"/>
    <x v="0"/>
    <x v="587"/>
    <x v="1"/>
    <x v="8"/>
    <x v="24"/>
    <x v="0"/>
    <x v="4"/>
    <x v="1"/>
    <x v="541"/>
    <x v="0"/>
    <x v="4"/>
    <x v="228"/>
    <x v="5"/>
  </r>
  <r>
    <x v="588"/>
    <x v="588"/>
    <x v="18"/>
    <x v="18"/>
    <x v="2"/>
    <x v="1"/>
    <x v="588"/>
    <x v="2"/>
    <x v="5"/>
    <x v="7"/>
    <x v="1"/>
    <x v="6"/>
    <x v="1"/>
    <x v="542"/>
    <x v="1"/>
    <x v="37"/>
    <x v="134"/>
    <x v="34"/>
  </r>
  <r>
    <x v="589"/>
    <x v="589"/>
    <x v="19"/>
    <x v="15"/>
    <x v="0"/>
    <x v="0"/>
    <x v="589"/>
    <x v="0"/>
    <x v="1"/>
    <x v="8"/>
    <x v="2"/>
    <x v="11"/>
    <x v="1"/>
    <x v="543"/>
    <x v="2"/>
    <x v="17"/>
    <x v="395"/>
    <x v="57"/>
  </r>
  <r>
    <x v="590"/>
    <x v="590"/>
    <x v="20"/>
    <x v="6"/>
    <x v="1"/>
    <x v="0"/>
    <x v="590"/>
    <x v="1"/>
    <x v="7"/>
    <x v="9"/>
    <x v="3"/>
    <x v="2"/>
    <x v="1"/>
    <x v="544"/>
    <x v="3"/>
    <x v="15"/>
    <x v="396"/>
    <x v="69"/>
  </r>
  <r>
    <x v="591"/>
    <x v="591"/>
    <x v="21"/>
    <x v="13"/>
    <x v="1"/>
    <x v="0"/>
    <x v="591"/>
    <x v="2"/>
    <x v="3"/>
    <x v="25"/>
    <x v="0"/>
    <x v="5"/>
    <x v="0"/>
    <x v="545"/>
    <x v="0"/>
    <x v="30"/>
    <x v="368"/>
    <x v="25"/>
  </r>
  <r>
    <x v="592"/>
    <x v="592"/>
    <x v="22"/>
    <x v="24"/>
    <x v="0"/>
    <x v="0"/>
    <x v="592"/>
    <x v="0"/>
    <x v="3"/>
    <x v="26"/>
    <x v="1"/>
    <x v="8"/>
    <x v="1"/>
    <x v="546"/>
    <x v="1"/>
    <x v="27"/>
    <x v="1"/>
    <x v="18"/>
  </r>
  <r>
    <x v="593"/>
    <x v="593"/>
    <x v="23"/>
    <x v="20"/>
    <x v="1"/>
    <x v="0"/>
    <x v="593"/>
    <x v="1"/>
    <x v="9"/>
    <x v="27"/>
    <x v="2"/>
    <x v="11"/>
    <x v="0"/>
    <x v="547"/>
    <x v="2"/>
    <x v="17"/>
    <x v="397"/>
    <x v="19"/>
  </r>
  <r>
    <x v="594"/>
    <x v="594"/>
    <x v="24"/>
    <x v="14"/>
    <x v="0"/>
    <x v="1"/>
    <x v="594"/>
    <x v="2"/>
    <x v="6"/>
    <x v="0"/>
    <x v="3"/>
    <x v="2"/>
    <x v="1"/>
    <x v="548"/>
    <x v="3"/>
    <x v="15"/>
    <x v="398"/>
    <x v="88"/>
  </r>
  <r>
    <x v="595"/>
    <x v="595"/>
    <x v="25"/>
    <x v="25"/>
    <x v="1"/>
    <x v="0"/>
    <x v="595"/>
    <x v="0"/>
    <x v="0"/>
    <x v="1"/>
    <x v="0"/>
    <x v="5"/>
    <x v="0"/>
    <x v="549"/>
    <x v="0"/>
    <x v="30"/>
    <x v="250"/>
    <x v="0"/>
  </r>
  <r>
    <x v="596"/>
    <x v="596"/>
    <x v="26"/>
    <x v="11"/>
    <x v="1"/>
    <x v="0"/>
    <x v="596"/>
    <x v="1"/>
    <x v="7"/>
    <x v="13"/>
    <x v="1"/>
    <x v="7"/>
    <x v="1"/>
    <x v="550"/>
    <x v="1"/>
    <x v="6"/>
    <x v="43"/>
    <x v="25"/>
  </r>
  <r>
    <x v="597"/>
    <x v="597"/>
    <x v="11"/>
    <x v="11"/>
    <x v="0"/>
    <x v="0"/>
    <x v="597"/>
    <x v="2"/>
    <x v="5"/>
    <x v="14"/>
    <x v="2"/>
    <x v="2"/>
    <x v="0"/>
    <x v="551"/>
    <x v="2"/>
    <x v="2"/>
    <x v="399"/>
    <x v="80"/>
  </r>
  <r>
    <x v="598"/>
    <x v="598"/>
    <x v="17"/>
    <x v="27"/>
    <x v="1"/>
    <x v="0"/>
    <x v="598"/>
    <x v="0"/>
    <x v="2"/>
    <x v="15"/>
    <x v="3"/>
    <x v="4"/>
    <x v="1"/>
    <x v="552"/>
    <x v="3"/>
    <x v="5"/>
    <x v="287"/>
    <x v="57"/>
  </r>
  <r>
    <x v="599"/>
    <x v="599"/>
    <x v="22"/>
    <x v="24"/>
    <x v="1"/>
    <x v="0"/>
    <x v="599"/>
    <x v="0"/>
    <x v="3"/>
    <x v="16"/>
    <x v="4"/>
    <x v="12"/>
    <x v="0"/>
    <x v="553"/>
    <x v="4"/>
    <x v="18"/>
    <x v="400"/>
    <x v="30"/>
  </r>
  <r>
    <x v="600"/>
    <x v="600"/>
    <x v="4"/>
    <x v="20"/>
    <x v="0"/>
    <x v="0"/>
    <x v="600"/>
    <x v="0"/>
    <x v="8"/>
    <x v="6"/>
    <x v="0"/>
    <x v="2"/>
    <x v="1"/>
    <x v="554"/>
    <x v="0"/>
    <x v="33"/>
    <x v="259"/>
    <x v="15"/>
  </r>
  <r>
    <x v="601"/>
    <x v="601"/>
    <x v="12"/>
    <x v="5"/>
    <x v="1"/>
    <x v="0"/>
    <x v="601"/>
    <x v="1"/>
    <x v="0"/>
    <x v="7"/>
    <x v="1"/>
    <x v="0"/>
    <x v="0"/>
    <x v="555"/>
    <x v="1"/>
    <x v="5"/>
    <x v="401"/>
    <x v="4"/>
  </r>
  <r>
    <x v="602"/>
    <x v="602"/>
    <x v="24"/>
    <x v="12"/>
    <x v="0"/>
    <x v="0"/>
    <x v="602"/>
    <x v="2"/>
    <x v="1"/>
    <x v="8"/>
    <x v="2"/>
    <x v="2"/>
    <x v="1"/>
    <x v="556"/>
    <x v="2"/>
    <x v="2"/>
    <x v="402"/>
    <x v="92"/>
  </r>
  <r>
    <x v="603"/>
    <x v="603"/>
    <x v="25"/>
    <x v="28"/>
    <x v="1"/>
    <x v="0"/>
    <x v="603"/>
    <x v="0"/>
    <x v="1"/>
    <x v="18"/>
    <x v="3"/>
    <x v="9"/>
    <x v="0"/>
    <x v="557"/>
    <x v="3"/>
    <x v="9"/>
    <x v="4"/>
    <x v="88"/>
  </r>
  <r>
    <x v="604"/>
    <x v="604"/>
    <x v="27"/>
    <x v="27"/>
    <x v="0"/>
    <x v="0"/>
    <x v="604"/>
    <x v="1"/>
    <x v="1"/>
    <x v="19"/>
    <x v="0"/>
    <x v="7"/>
    <x v="1"/>
    <x v="558"/>
    <x v="0"/>
    <x v="10"/>
    <x v="0"/>
    <x v="5"/>
  </r>
  <r>
    <x v="605"/>
    <x v="605"/>
    <x v="40"/>
    <x v="14"/>
    <x v="1"/>
    <x v="0"/>
    <x v="605"/>
    <x v="2"/>
    <x v="1"/>
    <x v="20"/>
    <x v="1"/>
    <x v="8"/>
    <x v="0"/>
    <x v="559"/>
    <x v="1"/>
    <x v="27"/>
    <x v="403"/>
    <x v="9"/>
  </r>
  <r>
    <x v="606"/>
    <x v="606"/>
    <x v="28"/>
    <x v="8"/>
    <x v="2"/>
    <x v="0"/>
    <x v="606"/>
    <x v="0"/>
    <x v="2"/>
    <x v="21"/>
    <x v="2"/>
    <x v="9"/>
    <x v="1"/>
    <x v="560"/>
    <x v="2"/>
    <x v="14"/>
    <x v="38"/>
    <x v="35"/>
  </r>
  <r>
    <x v="607"/>
    <x v="607"/>
    <x v="29"/>
    <x v="21"/>
    <x v="0"/>
    <x v="0"/>
    <x v="607"/>
    <x v="1"/>
    <x v="8"/>
    <x v="22"/>
    <x v="3"/>
    <x v="4"/>
    <x v="0"/>
    <x v="561"/>
    <x v="3"/>
    <x v="5"/>
    <x v="260"/>
    <x v="59"/>
  </r>
  <r>
    <x v="608"/>
    <x v="608"/>
    <x v="30"/>
    <x v="7"/>
    <x v="1"/>
    <x v="0"/>
    <x v="608"/>
    <x v="2"/>
    <x v="8"/>
    <x v="23"/>
    <x v="4"/>
    <x v="4"/>
    <x v="0"/>
    <x v="562"/>
    <x v="4"/>
    <x v="41"/>
    <x v="404"/>
    <x v="50"/>
  </r>
  <r>
    <x v="609"/>
    <x v="609"/>
    <x v="31"/>
    <x v="13"/>
    <x v="1"/>
    <x v="0"/>
    <x v="609"/>
    <x v="0"/>
    <x v="8"/>
    <x v="24"/>
    <x v="5"/>
    <x v="0"/>
    <x v="1"/>
    <x v="563"/>
    <x v="5"/>
    <x v="19"/>
    <x v="263"/>
    <x v="1"/>
  </r>
  <r>
    <x v="610"/>
    <x v="610"/>
    <x v="32"/>
    <x v="8"/>
    <x v="0"/>
    <x v="0"/>
    <x v="610"/>
    <x v="1"/>
    <x v="8"/>
    <x v="7"/>
    <x v="0"/>
    <x v="14"/>
    <x v="1"/>
    <x v="564"/>
    <x v="0"/>
    <x v="31"/>
    <x v="405"/>
    <x v="1"/>
  </r>
  <r>
    <x v="611"/>
    <x v="611"/>
    <x v="33"/>
    <x v="2"/>
    <x v="1"/>
    <x v="0"/>
    <x v="611"/>
    <x v="2"/>
    <x v="2"/>
    <x v="8"/>
    <x v="1"/>
    <x v="1"/>
    <x v="1"/>
    <x v="565"/>
    <x v="1"/>
    <x v="1"/>
    <x v="164"/>
    <x v="15"/>
  </r>
  <r>
    <x v="612"/>
    <x v="612"/>
    <x v="16"/>
    <x v="4"/>
    <x v="0"/>
    <x v="0"/>
    <x v="612"/>
    <x v="0"/>
    <x v="1"/>
    <x v="9"/>
    <x v="2"/>
    <x v="2"/>
    <x v="0"/>
    <x v="566"/>
    <x v="2"/>
    <x v="2"/>
    <x v="406"/>
    <x v="80"/>
  </r>
  <r>
    <x v="613"/>
    <x v="613"/>
    <x v="17"/>
    <x v="10"/>
    <x v="1"/>
    <x v="0"/>
    <x v="613"/>
    <x v="1"/>
    <x v="1"/>
    <x v="25"/>
    <x v="3"/>
    <x v="5"/>
    <x v="0"/>
    <x v="567"/>
    <x v="3"/>
    <x v="6"/>
    <x v="407"/>
    <x v="48"/>
  </r>
  <r>
    <x v="614"/>
    <x v="614"/>
    <x v="18"/>
    <x v="9"/>
    <x v="1"/>
    <x v="0"/>
    <x v="614"/>
    <x v="2"/>
    <x v="0"/>
    <x v="26"/>
    <x v="0"/>
    <x v="1"/>
    <x v="0"/>
    <x v="568"/>
    <x v="0"/>
    <x v="21"/>
    <x v="408"/>
    <x v="18"/>
  </r>
  <r>
    <x v="615"/>
    <x v="615"/>
    <x v="9"/>
    <x v="16"/>
    <x v="0"/>
    <x v="0"/>
    <x v="615"/>
    <x v="0"/>
    <x v="2"/>
    <x v="27"/>
    <x v="1"/>
    <x v="2"/>
    <x v="0"/>
    <x v="569"/>
    <x v="1"/>
    <x v="22"/>
    <x v="409"/>
    <x v="9"/>
  </r>
  <r>
    <x v="616"/>
    <x v="616"/>
    <x v="20"/>
    <x v="19"/>
    <x v="1"/>
    <x v="1"/>
    <x v="616"/>
    <x v="1"/>
    <x v="2"/>
    <x v="0"/>
    <x v="2"/>
    <x v="11"/>
    <x v="0"/>
    <x v="570"/>
    <x v="2"/>
    <x v="17"/>
    <x v="364"/>
    <x v="61"/>
  </r>
  <r>
    <x v="617"/>
    <x v="617"/>
    <x v="21"/>
    <x v="29"/>
    <x v="1"/>
    <x v="0"/>
    <x v="617"/>
    <x v="2"/>
    <x v="1"/>
    <x v="1"/>
    <x v="3"/>
    <x v="3"/>
    <x v="0"/>
    <x v="571"/>
    <x v="3"/>
    <x v="3"/>
    <x v="106"/>
    <x v="48"/>
  </r>
  <r>
    <x v="618"/>
    <x v="618"/>
    <x v="22"/>
    <x v="12"/>
    <x v="0"/>
    <x v="0"/>
    <x v="618"/>
    <x v="0"/>
    <x v="2"/>
    <x v="13"/>
    <x v="4"/>
    <x v="1"/>
    <x v="0"/>
    <x v="572"/>
    <x v="4"/>
    <x v="7"/>
    <x v="236"/>
    <x v="46"/>
  </r>
  <r>
    <x v="619"/>
    <x v="619"/>
    <x v="23"/>
    <x v="14"/>
    <x v="1"/>
    <x v="0"/>
    <x v="619"/>
    <x v="1"/>
    <x v="2"/>
    <x v="14"/>
    <x v="0"/>
    <x v="1"/>
    <x v="0"/>
    <x v="573"/>
    <x v="0"/>
    <x v="21"/>
    <x v="410"/>
    <x v="42"/>
  </r>
  <r>
    <x v="620"/>
    <x v="620"/>
    <x v="24"/>
    <x v="3"/>
    <x v="0"/>
    <x v="0"/>
    <x v="620"/>
    <x v="2"/>
    <x v="0"/>
    <x v="15"/>
    <x v="1"/>
    <x v="12"/>
    <x v="0"/>
    <x v="574"/>
    <x v="1"/>
    <x v="28"/>
    <x v="411"/>
    <x v="20"/>
  </r>
  <r>
    <x v="621"/>
    <x v="621"/>
    <x v="25"/>
    <x v="6"/>
    <x v="1"/>
    <x v="0"/>
    <x v="621"/>
    <x v="0"/>
    <x v="0"/>
    <x v="16"/>
    <x v="2"/>
    <x v="11"/>
    <x v="1"/>
    <x v="575"/>
    <x v="2"/>
    <x v="17"/>
    <x v="106"/>
    <x v="2"/>
  </r>
  <r>
    <x v="622"/>
    <x v="622"/>
    <x v="37"/>
    <x v="15"/>
    <x v="0"/>
    <x v="1"/>
    <x v="622"/>
    <x v="1"/>
    <x v="2"/>
    <x v="6"/>
    <x v="3"/>
    <x v="3"/>
    <x v="0"/>
    <x v="576"/>
    <x v="3"/>
    <x v="3"/>
    <x v="199"/>
    <x v="81"/>
  </r>
  <r>
    <x v="623"/>
    <x v="623"/>
    <x v="1"/>
    <x v="20"/>
    <x v="1"/>
    <x v="0"/>
    <x v="623"/>
    <x v="2"/>
    <x v="2"/>
    <x v="7"/>
    <x v="0"/>
    <x v="12"/>
    <x v="0"/>
    <x v="577"/>
    <x v="0"/>
    <x v="23"/>
    <x v="412"/>
    <x v="8"/>
  </r>
  <r>
    <x v="624"/>
    <x v="624"/>
    <x v="2"/>
    <x v="5"/>
    <x v="2"/>
    <x v="0"/>
    <x v="624"/>
    <x v="0"/>
    <x v="1"/>
    <x v="8"/>
    <x v="1"/>
    <x v="1"/>
    <x v="0"/>
    <x v="578"/>
    <x v="1"/>
    <x v="1"/>
    <x v="103"/>
    <x v="46"/>
  </r>
  <r>
    <x v="625"/>
    <x v="625"/>
    <x v="3"/>
    <x v="11"/>
    <x v="0"/>
    <x v="0"/>
    <x v="625"/>
    <x v="1"/>
    <x v="2"/>
    <x v="18"/>
    <x v="2"/>
    <x v="9"/>
    <x v="0"/>
    <x v="579"/>
    <x v="2"/>
    <x v="14"/>
    <x v="388"/>
    <x v="91"/>
  </r>
  <r>
    <x v="626"/>
    <x v="626"/>
    <x v="4"/>
    <x v="10"/>
    <x v="1"/>
    <x v="0"/>
    <x v="626"/>
    <x v="2"/>
    <x v="0"/>
    <x v="19"/>
    <x v="3"/>
    <x v="2"/>
    <x v="0"/>
    <x v="580"/>
    <x v="3"/>
    <x v="15"/>
    <x v="413"/>
    <x v="86"/>
  </r>
  <r>
    <x v="627"/>
    <x v="627"/>
    <x v="5"/>
    <x v="16"/>
    <x v="1"/>
    <x v="0"/>
    <x v="627"/>
    <x v="0"/>
    <x v="1"/>
    <x v="20"/>
    <x v="4"/>
    <x v="4"/>
    <x v="1"/>
    <x v="581"/>
    <x v="4"/>
    <x v="41"/>
    <x v="108"/>
    <x v="34"/>
  </r>
  <r>
    <x v="628"/>
    <x v="628"/>
    <x v="7"/>
    <x v="25"/>
    <x v="0"/>
    <x v="0"/>
    <x v="628"/>
    <x v="1"/>
    <x v="2"/>
    <x v="21"/>
    <x v="5"/>
    <x v="4"/>
    <x v="0"/>
    <x v="582"/>
    <x v="5"/>
    <x v="39"/>
    <x v="414"/>
    <x v="52"/>
  </r>
  <r>
    <x v="629"/>
    <x v="629"/>
    <x v="7"/>
    <x v="14"/>
    <x v="1"/>
    <x v="0"/>
    <x v="629"/>
    <x v="2"/>
    <x v="0"/>
    <x v="22"/>
    <x v="0"/>
    <x v="0"/>
    <x v="0"/>
    <x v="583"/>
    <x v="0"/>
    <x v="0"/>
    <x v="415"/>
    <x v="37"/>
  </r>
  <r>
    <x v="630"/>
    <x v="630"/>
    <x v="8"/>
    <x v="10"/>
    <x v="0"/>
    <x v="0"/>
    <x v="630"/>
    <x v="0"/>
    <x v="2"/>
    <x v="23"/>
    <x v="1"/>
    <x v="7"/>
    <x v="0"/>
    <x v="584"/>
    <x v="1"/>
    <x v="6"/>
    <x v="239"/>
    <x v="20"/>
  </r>
  <r>
    <x v="631"/>
    <x v="631"/>
    <x v="5"/>
    <x v="26"/>
    <x v="1"/>
    <x v="0"/>
    <x v="631"/>
    <x v="1"/>
    <x v="1"/>
    <x v="24"/>
    <x v="2"/>
    <x v="2"/>
    <x v="1"/>
    <x v="585"/>
    <x v="2"/>
    <x v="2"/>
    <x v="416"/>
    <x v="43"/>
  </r>
  <r>
    <x v="632"/>
    <x v="632"/>
    <x v="9"/>
    <x v="18"/>
    <x v="1"/>
    <x v="0"/>
    <x v="632"/>
    <x v="2"/>
    <x v="8"/>
    <x v="7"/>
    <x v="3"/>
    <x v="9"/>
    <x v="1"/>
    <x v="586"/>
    <x v="3"/>
    <x v="9"/>
    <x v="271"/>
    <x v="83"/>
  </r>
  <r>
    <x v="633"/>
    <x v="633"/>
    <x v="10"/>
    <x v="3"/>
    <x v="0"/>
    <x v="0"/>
    <x v="633"/>
    <x v="0"/>
    <x v="1"/>
    <x v="8"/>
    <x v="0"/>
    <x v="14"/>
    <x v="1"/>
    <x v="587"/>
    <x v="0"/>
    <x v="31"/>
    <x v="210"/>
    <x v="1"/>
  </r>
  <r>
    <x v="634"/>
    <x v="634"/>
    <x v="39"/>
    <x v="11"/>
    <x v="1"/>
    <x v="0"/>
    <x v="634"/>
    <x v="1"/>
    <x v="2"/>
    <x v="9"/>
    <x v="1"/>
    <x v="6"/>
    <x v="1"/>
    <x v="588"/>
    <x v="1"/>
    <x v="37"/>
    <x v="368"/>
    <x v="46"/>
  </r>
  <r>
    <x v="635"/>
    <x v="635"/>
    <x v="11"/>
    <x v="28"/>
    <x v="1"/>
    <x v="0"/>
    <x v="635"/>
    <x v="2"/>
    <x v="1"/>
    <x v="27"/>
    <x v="2"/>
    <x v="9"/>
    <x v="1"/>
    <x v="589"/>
    <x v="2"/>
    <x v="14"/>
    <x v="405"/>
    <x v="2"/>
  </r>
  <r>
    <x v="636"/>
    <x v="636"/>
    <x v="5"/>
    <x v="17"/>
    <x v="0"/>
    <x v="0"/>
    <x v="636"/>
    <x v="0"/>
    <x v="0"/>
    <x v="0"/>
    <x v="3"/>
    <x v="2"/>
    <x v="1"/>
    <x v="590"/>
    <x v="3"/>
    <x v="15"/>
    <x v="236"/>
    <x v="65"/>
  </r>
  <r>
    <x v="637"/>
    <x v="637"/>
    <x v="12"/>
    <x v="13"/>
    <x v="1"/>
    <x v="0"/>
    <x v="637"/>
    <x v="1"/>
    <x v="2"/>
    <x v="1"/>
    <x v="0"/>
    <x v="6"/>
    <x v="0"/>
    <x v="591"/>
    <x v="0"/>
    <x v="8"/>
    <x v="25"/>
    <x v="67"/>
  </r>
  <r>
    <x v="638"/>
    <x v="638"/>
    <x v="10"/>
    <x v="25"/>
    <x v="0"/>
    <x v="0"/>
    <x v="638"/>
    <x v="2"/>
    <x v="0"/>
    <x v="13"/>
    <x v="1"/>
    <x v="5"/>
    <x v="1"/>
    <x v="592"/>
    <x v="1"/>
    <x v="15"/>
    <x v="414"/>
    <x v="29"/>
  </r>
  <r>
    <x v="639"/>
    <x v="639"/>
    <x v="4"/>
    <x v="15"/>
    <x v="1"/>
    <x v="0"/>
    <x v="639"/>
    <x v="0"/>
    <x v="0"/>
    <x v="14"/>
    <x v="2"/>
    <x v="2"/>
    <x v="0"/>
    <x v="593"/>
    <x v="2"/>
    <x v="2"/>
    <x v="192"/>
    <x v="51"/>
  </r>
  <r>
    <x v="640"/>
    <x v="640"/>
    <x v="13"/>
    <x v="11"/>
    <x v="0"/>
    <x v="0"/>
    <x v="640"/>
    <x v="1"/>
    <x v="0"/>
    <x v="15"/>
    <x v="3"/>
    <x v="2"/>
    <x v="1"/>
    <x v="594"/>
    <x v="3"/>
    <x v="15"/>
    <x v="240"/>
    <x v="83"/>
  </r>
  <r>
    <x v="641"/>
    <x v="641"/>
    <x v="14"/>
    <x v="29"/>
    <x v="1"/>
    <x v="0"/>
    <x v="641"/>
    <x v="2"/>
    <x v="0"/>
    <x v="16"/>
    <x v="0"/>
    <x v="12"/>
    <x v="0"/>
    <x v="595"/>
    <x v="0"/>
    <x v="23"/>
    <x v="252"/>
    <x v="30"/>
  </r>
  <r>
    <x v="642"/>
    <x v="642"/>
    <x v="15"/>
    <x v="23"/>
    <x v="2"/>
    <x v="0"/>
    <x v="642"/>
    <x v="0"/>
    <x v="0"/>
    <x v="6"/>
    <x v="1"/>
    <x v="8"/>
    <x v="1"/>
    <x v="596"/>
    <x v="1"/>
    <x v="27"/>
    <x v="396"/>
    <x v="34"/>
  </r>
  <r>
    <x v="643"/>
    <x v="643"/>
    <x v="9"/>
    <x v="6"/>
    <x v="0"/>
    <x v="0"/>
    <x v="643"/>
    <x v="1"/>
    <x v="2"/>
    <x v="7"/>
    <x v="2"/>
    <x v="2"/>
    <x v="0"/>
    <x v="597"/>
    <x v="2"/>
    <x v="2"/>
    <x v="417"/>
    <x v="60"/>
  </r>
  <r>
    <x v="644"/>
    <x v="644"/>
    <x v="17"/>
    <x v="2"/>
    <x v="1"/>
    <x v="1"/>
    <x v="644"/>
    <x v="2"/>
    <x v="2"/>
    <x v="8"/>
    <x v="3"/>
    <x v="2"/>
    <x v="1"/>
    <x v="598"/>
    <x v="3"/>
    <x v="15"/>
    <x v="116"/>
    <x v="27"/>
  </r>
  <r>
    <x v="645"/>
    <x v="645"/>
    <x v="18"/>
    <x v="17"/>
    <x v="1"/>
    <x v="0"/>
    <x v="645"/>
    <x v="0"/>
    <x v="1"/>
    <x v="18"/>
    <x v="4"/>
    <x v="5"/>
    <x v="0"/>
    <x v="599"/>
    <x v="4"/>
    <x v="12"/>
    <x v="295"/>
    <x v="42"/>
  </r>
  <r>
    <x v="646"/>
    <x v="646"/>
    <x v="19"/>
    <x v="2"/>
    <x v="0"/>
    <x v="0"/>
    <x v="646"/>
    <x v="1"/>
    <x v="1"/>
    <x v="19"/>
    <x v="0"/>
    <x v="5"/>
    <x v="1"/>
    <x v="600"/>
    <x v="0"/>
    <x v="30"/>
    <x v="170"/>
    <x v="34"/>
  </r>
  <r>
    <x v="647"/>
    <x v="647"/>
    <x v="20"/>
    <x v="6"/>
    <x v="1"/>
    <x v="0"/>
    <x v="647"/>
    <x v="2"/>
    <x v="0"/>
    <x v="20"/>
    <x v="1"/>
    <x v="3"/>
    <x v="0"/>
    <x v="601"/>
    <x v="1"/>
    <x v="13"/>
    <x v="418"/>
    <x v="18"/>
  </r>
  <r>
    <x v="648"/>
    <x v="648"/>
    <x v="21"/>
    <x v="19"/>
    <x v="0"/>
    <x v="0"/>
    <x v="648"/>
    <x v="0"/>
    <x v="2"/>
    <x v="21"/>
    <x v="2"/>
    <x v="2"/>
    <x v="1"/>
    <x v="602"/>
    <x v="2"/>
    <x v="2"/>
    <x v="129"/>
    <x v="38"/>
  </r>
  <r>
    <x v="649"/>
    <x v="649"/>
    <x v="22"/>
    <x v="9"/>
    <x v="1"/>
    <x v="0"/>
    <x v="649"/>
    <x v="0"/>
    <x v="2"/>
    <x v="22"/>
    <x v="3"/>
    <x v="5"/>
    <x v="0"/>
    <x v="603"/>
    <x v="3"/>
    <x v="6"/>
    <x v="384"/>
    <x v="49"/>
  </r>
  <r>
    <x v="650"/>
    <x v="650"/>
    <x v="23"/>
    <x v="5"/>
    <x v="1"/>
    <x v="1"/>
    <x v="650"/>
    <x v="0"/>
    <x v="8"/>
    <x v="23"/>
    <x v="0"/>
    <x v="3"/>
    <x v="1"/>
    <x v="604"/>
    <x v="0"/>
    <x v="12"/>
    <x v="274"/>
    <x v="0"/>
  </r>
  <r>
    <x v="651"/>
    <x v="651"/>
    <x v="24"/>
    <x v="23"/>
    <x v="0"/>
    <x v="0"/>
    <x v="651"/>
    <x v="1"/>
    <x v="2"/>
    <x v="24"/>
    <x v="1"/>
    <x v="14"/>
    <x v="0"/>
    <x v="605"/>
    <x v="1"/>
    <x v="3"/>
    <x v="419"/>
    <x v="25"/>
  </r>
  <r>
    <x v="652"/>
    <x v="652"/>
    <x v="25"/>
    <x v="7"/>
    <x v="1"/>
    <x v="0"/>
    <x v="652"/>
    <x v="2"/>
    <x v="2"/>
    <x v="7"/>
    <x v="2"/>
    <x v="9"/>
    <x v="1"/>
    <x v="606"/>
    <x v="2"/>
    <x v="14"/>
    <x v="420"/>
    <x v="35"/>
  </r>
  <r>
    <x v="653"/>
    <x v="653"/>
    <x v="26"/>
    <x v="12"/>
    <x v="1"/>
    <x v="0"/>
    <x v="653"/>
    <x v="0"/>
    <x v="2"/>
    <x v="8"/>
    <x v="3"/>
    <x v="9"/>
    <x v="0"/>
    <x v="607"/>
    <x v="3"/>
    <x v="9"/>
    <x v="421"/>
    <x v="24"/>
  </r>
  <r>
    <x v="654"/>
    <x v="654"/>
    <x v="11"/>
    <x v="9"/>
    <x v="0"/>
    <x v="0"/>
    <x v="654"/>
    <x v="1"/>
    <x v="2"/>
    <x v="9"/>
    <x v="4"/>
    <x v="14"/>
    <x v="0"/>
    <x v="608"/>
    <x v="4"/>
    <x v="32"/>
    <x v="283"/>
    <x v="34"/>
  </r>
  <r>
    <x v="655"/>
    <x v="655"/>
    <x v="17"/>
    <x v="17"/>
    <x v="1"/>
    <x v="0"/>
    <x v="655"/>
    <x v="2"/>
    <x v="1"/>
    <x v="22"/>
    <x v="5"/>
    <x v="2"/>
    <x v="1"/>
    <x v="609"/>
    <x v="5"/>
    <x v="42"/>
    <x v="422"/>
    <x v="76"/>
  </r>
  <r>
    <x v="656"/>
    <x v="656"/>
    <x v="22"/>
    <x v="12"/>
    <x v="0"/>
    <x v="0"/>
    <x v="656"/>
    <x v="0"/>
    <x v="1"/>
    <x v="13"/>
    <x v="0"/>
    <x v="5"/>
    <x v="1"/>
    <x v="610"/>
    <x v="0"/>
    <x v="30"/>
    <x v="414"/>
    <x v="0"/>
  </r>
  <r>
    <x v="657"/>
    <x v="657"/>
    <x v="4"/>
    <x v="17"/>
    <x v="1"/>
    <x v="0"/>
    <x v="657"/>
    <x v="1"/>
    <x v="0"/>
    <x v="22"/>
    <x v="1"/>
    <x v="0"/>
    <x v="1"/>
    <x v="611"/>
    <x v="1"/>
    <x v="5"/>
    <x v="205"/>
    <x v="11"/>
  </r>
  <r>
    <x v="658"/>
    <x v="658"/>
    <x v="12"/>
    <x v="25"/>
    <x v="0"/>
    <x v="0"/>
    <x v="658"/>
    <x v="2"/>
    <x v="1"/>
    <x v="13"/>
    <x v="2"/>
    <x v="9"/>
    <x v="0"/>
    <x v="612"/>
    <x v="2"/>
    <x v="14"/>
    <x v="192"/>
    <x v="56"/>
  </r>
  <r>
    <x v="659"/>
    <x v="659"/>
    <x v="24"/>
    <x v="15"/>
    <x v="1"/>
    <x v="0"/>
    <x v="659"/>
    <x v="0"/>
    <x v="0"/>
    <x v="22"/>
    <x v="3"/>
    <x v="9"/>
    <x v="0"/>
    <x v="613"/>
    <x v="3"/>
    <x v="9"/>
    <x v="423"/>
    <x v="75"/>
  </r>
  <r>
    <x v="660"/>
    <x v="660"/>
    <x v="25"/>
    <x v="29"/>
    <x v="2"/>
    <x v="0"/>
    <x v="660"/>
    <x v="1"/>
    <x v="8"/>
    <x v="13"/>
    <x v="0"/>
    <x v="6"/>
    <x v="0"/>
    <x v="614"/>
    <x v="0"/>
    <x v="8"/>
    <x v="47"/>
    <x v="4"/>
  </r>
  <r>
    <x v="661"/>
    <x v="661"/>
    <x v="27"/>
    <x v="23"/>
    <x v="0"/>
    <x v="0"/>
    <x v="661"/>
    <x v="2"/>
    <x v="1"/>
    <x v="22"/>
    <x v="1"/>
    <x v="4"/>
    <x v="0"/>
    <x v="615"/>
    <x v="1"/>
    <x v="9"/>
    <x v="290"/>
    <x v="34"/>
  </r>
  <r>
    <x v="662"/>
    <x v="662"/>
    <x v="40"/>
    <x v="11"/>
    <x v="1"/>
    <x v="0"/>
    <x v="662"/>
    <x v="0"/>
    <x v="8"/>
    <x v="13"/>
    <x v="2"/>
    <x v="11"/>
    <x v="0"/>
    <x v="616"/>
    <x v="2"/>
    <x v="17"/>
    <x v="424"/>
    <x v="35"/>
  </r>
  <r>
    <x v="663"/>
    <x v="663"/>
    <x v="28"/>
    <x v="23"/>
    <x v="1"/>
    <x v="0"/>
    <x v="663"/>
    <x v="1"/>
    <x v="0"/>
    <x v="22"/>
    <x v="3"/>
    <x v="3"/>
    <x v="0"/>
    <x v="617"/>
    <x v="3"/>
    <x v="3"/>
    <x v="425"/>
    <x v="95"/>
  </r>
  <r>
    <x v="664"/>
    <x v="664"/>
    <x v="29"/>
    <x v="25"/>
    <x v="0"/>
    <x v="0"/>
    <x v="664"/>
    <x v="2"/>
    <x v="2"/>
    <x v="13"/>
    <x v="4"/>
    <x v="7"/>
    <x v="0"/>
    <x v="618"/>
    <x v="4"/>
    <x v="31"/>
    <x v="426"/>
    <x v="20"/>
  </r>
  <r>
    <x v="665"/>
    <x v="665"/>
    <x v="30"/>
    <x v="16"/>
    <x v="1"/>
    <x v="0"/>
    <x v="665"/>
    <x v="0"/>
    <x v="1"/>
    <x v="22"/>
    <x v="0"/>
    <x v="5"/>
    <x v="0"/>
    <x v="619"/>
    <x v="0"/>
    <x v="30"/>
    <x v="106"/>
    <x v="34"/>
  </r>
  <r>
    <x v="666"/>
    <x v="666"/>
    <x v="9"/>
    <x v="15"/>
    <x v="0"/>
    <x v="0"/>
    <x v="666"/>
    <x v="1"/>
    <x v="1"/>
    <x v="13"/>
    <x v="1"/>
    <x v="5"/>
    <x v="0"/>
    <x v="620"/>
    <x v="1"/>
    <x v="15"/>
    <x v="427"/>
    <x v="34"/>
  </r>
  <r>
    <x v="667"/>
    <x v="667"/>
    <x v="32"/>
    <x v="25"/>
    <x v="1"/>
    <x v="0"/>
    <x v="667"/>
    <x v="2"/>
    <x v="1"/>
    <x v="22"/>
    <x v="2"/>
    <x v="9"/>
    <x v="1"/>
    <x v="621"/>
    <x v="2"/>
    <x v="14"/>
    <x v="336"/>
    <x v="61"/>
  </r>
  <r>
    <x v="668"/>
    <x v="668"/>
    <x v="33"/>
    <x v="16"/>
    <x v="1"/>
    <x v="0"/>
    <x v="668"/>
    <x v="0"/>
    <x v="8"/>
    <x v="13"/>
    <x v="3"/>
    <x v="4"/>
    <x v="0"/>
    <x v="622"/>
    <x v="3"/>
    <x v="5"/>
    <x v="322"/>
    <x v="44"/>
  </r>
  <r>
    <x v="669"/>
    <x v="669"/>
    <x v="34"/>
    <x v="28"/>
    <x v="0"/>
    <x v="0"/>
    <x v="669"/>
    <x v="1"/>
    <x v="1"/>
    <x v="22"/>
    <x v="0"/>
    <x v="14"/>
    <x v="0"/>
    <x v="623"/>
    <x v="0"/>
    <x v="31"/>
    <x v="335"/>
    <x v="34"/>
  </r>
  <r>
    <x v="670"/>
    <x v="670"/>
    <x v="35"/>
    <x v="16"/>
    <x v="1"/>
    <x v="0"/>
    <x v="670"/>
    <x v="2"/>
    <x v="8"/>
    <x v="13"/>
    <x v="1"/>
    <x v="0"/>
    <x v="0"/>
    <x v="624"/>
    <x v="1"/>
    <x v="5"/>
    <x v="369"/>
    <x v="9"/>
  </r>
  <r>
    <x v="671"/>
    <x v="671"/>
    <x v="36"/>
    <x v="29"/>
    <x v="1"/>
    <x v="0"/>
    <x v="671"/>
    <x v="0"/>
    <x v="0"/>
    <x v="22"/>
    <x v="2"/>
    <x v="9"/>
    <x v="0"/>
    <x v="625"/>
    <x v="2"/>
    <x v="14"/>
    <x v="283"/>
    <x v="93"/>
  </r>
  <r>
    <x v="672"/>
    <x v="672"/>
    <x v="37"/>
    <x v="18"/>
    <x v="0"/>
    <x v="1"/>
    <x v="672"/>
    <x v="1"/>
    <x v="8"/>
    <x v="13"/>
    <x v="3"/>
    <x v="9"/>
    <x v="0"/>
    <x v="626"/>
    <x v="3"/>
    <x v="9"/>
    <x v="428"/>
    <x v="55"/>
  </r>
  <r>
    <x v="673"/>
    <x v="673"/>
    <x v="1"/>
    <x v="7"/>
    <x v="1"/>
    <x v="0"/>
    <x v="673"/>
    <x v="2"/>
    <x v="2"/>
    <x v="22"/>
    <x v="4"/>
    <x v="10"/>
    <x v="1"/>
    <x v="627"/>
    <x v="4"/>
    <x v="16"/>
    <x v="333"/>
    <x v="30"/>
  </r>
  <r>
    <x v="674"/>
    <x v="674"/>
    <x v="2"/>
    <x v="17"/>
    <x v="0"/>
    <x v="0"/>
    <x v="674"/>
    <x v="0"/>
    <x v="0"/>
    <x v="13"/>
    <x v="5"/>
    <x v="2"/>
    <x v="0"/>
    <x v="628"/>
    <x v="5"/>
    <x v="42"/>
    <x v="397"/>
    <x v="7"/>
  </r>
  <r>
    <x v="675"/>
    <x v="675"/>
    <x v="3"/>
    <x v="19"/>
    <x v="1"/>
    <x v="0"/>
    <x v="675"/>
    <x v="1"/>
    <x v="0"/>
    <x v="22"/>
    <x v="0"/>
    <x v="5"/>
    <x v="0"/>
    <x v="629"/>
    <x v="0"/>
    <x v="30"/>
    <x v="429"/>
    <x v="4"/>
  </r>
  <r>
    <x v="676"/>
    <x v="676"/>
    <x v="4"/>
    <x v="7"/>
    <x v="0"/>
    <x v="0"/>
    <x v="676"/>
    <x v="2"/>
    <x v="2"/>
    <x v="13"/>
    <x v="1"/>
    <x v="7"/>
    <x v="0"/>
    <x v="630"/>
    <x v="1"/>
    <x v="6"/>
    <x v="430"/>
    <x v="22"/>
  </r>
  <r>
    <x v="677"/>
    <x v="677"/>
    <x v="5"/>
    <x v="18"/>
    <x v="1"/>
    <x v="0"/>
    <x v="677"/>
    <x v="0"/>
    <x v="1"/>
    <x v="22"/>
    <x v="2"/>
    <x v="9"/>
    <x v="1"/>
    <x v="631"/>
    <x v="2"/>
    <x v="14"/>
    <x v="431"/>
    <x v="94"/>
  </r>
  <r>
    <x v="678"/>
    <x v="678"/>
    <x v="7"/>
    <x v="7"/>
    <x v="2"/>
    <x v="1"/>
    <x v="678"/>
    <x v="1"/>
    <x v="8"/>
    <x v="13"/>
    <x v="3"/>
    <x v="9"/>
    <x v="1"/>
    <x v="632"/>
    <x v="3"/>
    <x v="9"/>
    <x v="108"/>
    <x v="53"/>
  </r>
  <r>
    <x v="679"/>
    <x v="679"/>
    <x v="7"/>
    <x v="5"/>
    <x v="0"/>
    <x v="0"/>
    <x v="679"/>
    <x v="2"/>
    <x v="2"/>
    <x v="22"/>
    <x v="0"/>
    <x v="0"/>
    <x v="1"/>
    <x v="633"/>
    <x v="0"/>
    <x v="0"/>
    <x v="113"/>
    <x v="1"/>
  </r>
  <r>
    <x v="680"/>
    <x v="680"/>
    <x v="8"/>
    <x v="19"/>
    <x v="1"/>
    <x v="0"/>
    <x v="680"/>
    <x v="0"/>
    <x v="8"/>
    <x v="13"/>
    <x v="1"/>
    <x v="14"/>
    <x v="1"/>
    <x v="634"/>
    <x v="1"/>
    <x v="3"/>
    <x v="432"/>
    <x v="4"/>
  </r>
  <r>
    <x v="681"/>
    <x v="681"/>
    <x v="38"/>
    <x v="10"/>
    <x v="1"/>
    <x v="0"/>
    <x v="681"/>
    <x v="1"/>
    <x v="1"/>
    <x v="22"/>
    <x v="2"/>
    <x v="2"/>
    <x v="1"/>
    <x v="635"/>
    <x v="2"/>
    <x v="2"/>
    <x v="295"/>
    <x v="27"/>
  </r>
  <r>
    <x v="682"/>
    <x v="682"/>
    <x v="9"/>
    <x v="20"/>
    <x v="0"/>
    <x v="0"/>
    <x v="682"/>
    <x v="2"/>
    <x v="1"/>
    <x v="13"/>
    <x v="3"/>
    <x v="1"/>
    <x v="1"/>
    <x v="636"/>
    <x v="3"/>
    <x v="20"/>
    <x v="433"/>
    <x v="78"/>
  </r>
  <r>
    <x v="683"/>
    <x v="683"/>
    <x v="10"/>
    <x v="26"/>
    <x v="1"/>
    <x v="0"/>
    <x v="683"/>
    <x v="0"/>
    <x v="8"/>
    <x v="22"/>
    <x v="0"/>
    <x v="14"/>
    <x v="0"/>
    <x v="637"/>
    <x v="0"/>
    <x v="31"/>
    <x v="163"/>
    <x v="26"/>
  </r>
  <r>
    <x v="684"/>
    <x v="684"/>
    <x v="39"/>
    <x v="18"/>
    <x v="0"/>
    <x v="0"/>
    <x v="684"/>
    <x v="1"/>
    <x v="0"/>
    <x v="13"/>
    <x v="1"/>
    <x v="8"/>
    <x v="1"/>
    <x v="638"/>
    <x v="1"/>
    <x v="27"/>
    <x v="118"/>
    <x v="29"/>
  </r>
  <r>
    <x v="685"/>
    <x v="685"/>
    <x v="11"/>
    <x v="26"/>
    <x v="1"/>
    <x v="0"/>
    <x v="685"/>
    <x v="2"/>
    <x v="0"/>
    <x v="22"/>
    <x v="2"/>
    <x v="11"/>
    <x v="0"/>
    <x v="639"/>
    <x v="2"/>
    <x v="17"/>
    <x v="360"/>
    <x v="48"/>
  </r>
  <r>
    <x v="686"/>
    <x v="686"/>
    <x v="36"/>
    <x v="4"/>
    <x v="1"/>
    <x v="0"/>
    <x v="686"/>
    <x v="0"/>
    <x v="1"/>
    <x v="13"/>
    <x v="3"/>
    <x v="9"/>
    <x v="1"/>
    <x v="640"/>
    <x v="3"/>
    <x v="9"/>
    <x v="311"/>
    <x v="75"/>
  </r>
  <r>
    <x v="687"/>
    <x v="687"/>
    <x v="37"/>
    <x v="27"/>
    <x v="0"/>
    <x v="0"/>
    <x v="687"/>
    <x v="1"/>
    <x v="8"/>
    <x v="0"/>
    <x v="0"/>
    <x v="14"/>
    <x v="0"/>
    <x v="641"/>
    <x v="0"/>
    <x v="31"/>
    <x v="434"/>
    <x v="0"/>
  </r>
  <r>
    <x v="688"/>
    <x v="688"/>
    <x v="1"/>
    <x v="4"/>
    <x v="1"/>
    <x v="0"/>
    <x v="688"/>
    <x v="2"/>
    <x v="1"/>
    <x v="1"/>
    <x v="1"/>
    <x v="4"/>
    <x v="1"/>
    <x v="642"/>
    <x v="1"/>
    <x v="9"/>
    <x v="202"/>
    <x v="41"/>
  </r>
  <r>
    <x v="689"/>
    <x v="689"/>
    <x v="2"/>
    <x v="1"/>
    <x v="1"/>
    <x v="0"/>
    <x v="689"/>
    <x v="0"/>
    <x v="1"/>
    <x v="13"/>
    <x v="2"/>
    <x v="2"/>
    <x v="0"/>
    <x v="643"/>
    <x v="2"/>
    <x v="2"/>
    <x v="435"/>
    <x v="54"/>
  </r>
  <r>
    <x v="690"/>
    <x v="690"/>
    <x v="3"/>
    <x v="1"/>
    <x v="0"/>
    <x v="0"/>
    <x v="690"/>
    <x v="1"/>
    <x v="2"/>
    <x v="14"/>
    <x v="3"/>
    <x v="4"/>
    <x v="1"/>
    <x v="644"/>
    <x v="3"/>
    <x v="5"/>
    <x v="436"/>
    <x v="3"/>
  </r>
  <r>
    <x v="691"/>
    <x v="691"/>
    <x v="4"/>
    <x v="6"/>
    <x v="1"/>
    <x v="0"/>
    <x v="691"/>
    <x v="2"/>
    <x v="1"/>
    <x v="15"/>
    <x v="4"/>
    <x v="8"/>
    <x v="0"/>
    <x v="645"/>
    <x v="4"/>
    <x v="6"/>
    <x v="421"/>
    <x v="17"/>
  </r>
  <r>
    <x v="692"/>
    <x v="692"/>
    <x v="5"/>
    <x v="2"/>
    <x v="0"/>
    <x v="0"/>
    <x v="692"/>
    <x v="0"/>
    <x v="8"/>
    <x v="16"/>
    <x v="0"/>
    <x v="2"/>
    <x v="1"/>
    <x v="646"/>
    <x v="0"/>
    <x v="33"/>
    <x v="107"/>
    <x v="31"/>
  </r>
  <r>
    <x v="693"/>
    <x v="693"/>
    <x v="7"/>
    <x v="27"/>
    <x v="1"/>
    <x v="0"/>
    <x v="693"/>
    <x v="1"/>
    <x v="1"/>
    <x v="6"/>
    <x v="1"/>
    <x v="6"/>
    <x v="0"/>
    <x v="647"/>
    <x v="1"/>
    <x v="37"/>
    <x v="437"/>
    <x v="82"/>
  </r>
  <r>
    <x v="694"/>
    <x v="694"/>
    <x v="7"/>
    <x v="18"/>
    <x v="0"/>
    <x v="0"/>
    <x v="694"/>
    <x v="2"/>
    <x v="8"/>
    <x v="7"/>
    <x v="2"/>
    <x v="2"/>
    <x v="1"/>
    <x v="648"/>
    <x v="2"/>
    <x v="2"/>
    <x v="207"/>
    <x v="74"/>
  </r>
  <r>
    <x v="695"/>
    <x v="695"/>
    <x v="8"/>
    <x v="18"/>
    <x v="1"/>
    <x v="0"/>
    <x v="695"/>
    <x v="0"/>
    <x v="1"/>
    <x v="8"/>
    <x v="3"/>
    <x v="3"/>
    <x v="0"/>
    <x v="649"/>
    <x v="3"/>
    <x v="3"/>
    <x v="179"/>
    <x v="39"/>
  </r>
  <r>
    <x v="696"/>
    <x v="696"/>
    <x v="5"/>
    <x v="13"/>
    <x v="2"/>
    <x v="0"/>
    <x v="696"/>
    <x v="1"/>
    <x v="0"/>
    <x v="18"/>
    <x v="0"/>
    <x v="6"/>
    <x v="1"/>
    <x v="650"/>
    <x v="0"/>
    <x v="8"/>
    <x v="0"/>
    <x v="17"/>
  </r>
  <r>
    <x v="697"/>
    <x v="697"/>
    <x v="9"/>
    <x v="27"/>
    <x v="0"/>
    <x v="0"/>
    <x v="697"/>
    <x v="2"/>
    <x v="1"/>
    <x v="19"/>
    <x v="1"/>
    <x v="1"/>
    <x v="0"/>
    <x v="651"/>
    <x v="1"/>
    <x v="1"/>
    <x v="360"/>
    <x v="5"/>
  </r>
  <r>
    <x v="698"/>
    <x v="698"/>
    <x v="10"/>
    <x v="28"/>
    <x v="1"/>
    <x v="0"/>
    <x v="698"/>
    <x v="0"/>
    <x v="2"/>
    <x v="20"/>
    <x v="2"/>
    <x v="9"/>
    <x v="1"/>
    <x v="652"/>
    <x v="2"/>
    <x v="14"/>
    <x v="95"/>
    <x v="58"/>
  </r>
  <r>
    <x v="699"/>
    <x v="699"/>
    <x v="39"/>
    <x v="14"/>
    <x v="1"/>
    <x v="0"/>
    <x v="699"/>
    <x v="0"/>
    <x v="8"/>
    <x v="21"/>
    <x v="3"/>
    <x v="1"/>
    <x v="0"/>
    <x v="653"/>
    <x v="3"/>
    <x v="20"/>
    <x v="438"/>
    <x v="44"/>
  </r>
  <r>
    <x v="700"/>
    <x v="700"/>
    <x v="11"/>
    <x v="10"/>
    <x v="0"/>
    <x v="1"/>
    <x v="700"/>
    <x v="0"/>
    <x v="0"/>
    <x v="22"/>
    <x v="4"/>
    <x v="0"/>
    <x v="0"/>
    <x v="654"/>
    <x v="4"/>
    <x v="36"/>
    <x v="314"/>
    <x v="50"/>
  </r>
  <r>
    <x v="701"/>
    <x v="701"/>
    <x v="5"/>
    <x v="20"/>
    <x v="1"/>
    <x v="0"/>
    <x v="701"/>
    <x v="1"/>
    <x v="1"/>
    <x v="0"/>
    <x v="5"/>
    <x v="9"/>
    <x v="1"/>
    <x v="655"/>
    <x v="5"/>
    <x v="29"/>
    <x v="439"/>
    <x v="25"/>
  </r>
  <r>
    <x v="702"/>
    <x v="702"/>
    <x v="12"/>
    <x v="17"/>
    <x v="0"/>
    <x v="0"/>
    <x v="702"/>
    <x v="2"/>
    <x v="2"/>
    <x v="1"/>
    <x v="0"/>
    <x v="3"/>
    <x v="1"/>
    <x v="656"/>
    <x v="0"/>
    <x v="12"/>
    <x v="178"/>
    <x v="52"/>
  </r>
  <r>
    <x v="703"/>
    <x v="703"/>
    <x v="10"/>
    <x v="26"/>
    <x v="1"/>
    <x v="0"/>
    <x v="703"/>
    <x v="0"/>
    <x v="1"/>
    <x v="13"/>
    <x v="1"/>
    <x v="8"/>
    <x v="1"/>
    <x v="657"/>
    <x v="1"/>
    <x v="27"/>
    <x v="440"/>
    <x v="70"/>
  </r>
  <r>
    <x v="704"/>
    <x v="704"/>
    <x v="4"/>
    <x v="23"/>
    <x v="1"/>
    <x v="0"/>
    <x v="704"/>
    <x v="1"/>
    <x v="0"/>
    <x v="14"/>
    <x v="2"/>
    <x v="2"/>
    <x v="0"/>
    <x v="658"/>
    <x v="2"/>
    <x v="2"/>
    <x v="441"/>
    <x v="51"/>
  </r>
  <r>
    <x v="705"/>
    <x v="705"/>
    <x v="13"/>
    <x v="21"/>
    <x v="0"/>
    <x v="0"/>
    <x v="705"/>
    <x v="2"/>
    <x v="8"/>
    <x v="15"/>
    <x v="3"/>
    <x v="9"/>
    <x v="0"/>
    <x v="659"/>
    <x v="3"/>
    <x v="9"/>
    <x v="10"/>
    <x v="57"/>
  </r>
  <r>
    <x v="706"/>
    <x v="706"/>
    <x v="14"/>
    <x v="25"/>
    <x v="1"/>
    <x v="1"/>
    <x v="706"/>
    <x v="0"/>
    <x v="1"/>
    <x v="16"/>
    <x v="0"/>
    <x v="3"/>
    <x v="0"/>
    <x v="660"/>
    <x v="0"/>
    <x v="12"/>
    <x v="301"/>
    <x v="42"/>
  </r>
  <r>
    <x v="707"/>
    <x v="707"/>
    <x v="15"/>
    <x v="28"/>
    <x v="1"/>
    <x v="0"/>
    <x v="707"/>
    <x v="1"/>
    <x v="1"/>
    <x v="6"/>
    <x v="1"/>
    <x v="5"/>
    <x v="0"/>
    <x v="661"/>
    <x v="1"/>
    <x v="15"/>
    <x v="264"/>
    <x v="5"/>
  </r>
  <r>
    <x v="708"/>
    <x v="708"/>
    <x v="16"/>
    <x v="11"/>
    <x v="0"/>
    <x v="0"/>
    <x v="708"/>
    <x v="2"/>
    <x v="1"/>
    <x v="7"/>
    <x v="2"/>
    <x v="11"/>
    <x v="0"/>
    <x v="662"/>
    <x v="2"/>
    <x v="17"/>
    <x v="442"/>
    <x v="48"/>
  </r>
  <r>
    <x v="709"/>
    <x v="709"/>
    <x v="17"/>
    <x v="5"/>
    <x v="1"/>
    <x v="0"/>
    <x v="709"/>
    <x v="0"/>
    <x v="0"/>
    <x v="8"/>
    <x v="3"/>
    <x v="4"/>
    <x v="0"/>
    <x v="663"/>
    <x v="3"/>
    <x v="5"/>
    <x v="443"/>
    <x v="69"/>
  </r>
  <r>
    <x v="710"/>
    <x v="710"/>
    <x v="18"/>
    <x v="16"/>
    <x v="0"/>
    <x v="0"/>
    <x v="710"/>
    <x v="1"/>
    <x v="8"/>
    <x v="18"/>
    <x v="4"/>
    <x v="1"/>
    <x v="0"/>
    <x v="664"/>
    <x v="4"/>
    <x v="7"/>
    <x v="128"/>
    <x v="25"/>
  </r>
  <r>
    <x v="711"/>
    <x v="711"/>
    <x v="19"/>
    <x v="14"/>
    <x v="1"/>
    <x v="0"/>
    <x v="711"/>
    <x v="2"/>
    <x v="1"/>
    <x v="19"/>
    <x v="0"/>
    <x v="5"/>
    <x v="0"/>
    <x v="665"/>
    <x v="0"/>
    <x v="30"/>
    <x v="444"/>
    <x v="31"/>
  </r>
  <r>
    <x v="712"/>
    <x v="712"/>
    <x v="20"/>
    <x v="12"/>
    <x v="0"/>
    <x v="0"/>
    <x v="712"/>
    <x v="0"/>
    <x v="1"/>
    <x v="20"/>
    <x v="1"/>
    <x v="12"/>
    <x v="0"/>
    <x v="666"/>
    <x v="1"/>
    <x v="28"/>
    <x v="195"/>
    <x v="1"/>
  </r>
  <r>
    <x v="713"/>
    <x v="713"/>
    <x v="21"/>
    <x v="14"/>
    <x v="1"/>
    <x v="0"/>
    <x v="713"/>
    <x v="1"/>
    <x v="2"/>
    <x v="21"/>
    <x v="2"/>
    <x v="11"/>
    <x v="1"/>
    <x v="667"/>
    <x v="2"/>
    <x v="17"/>
    <x v="303"/>
    <x v="12"/>
  </r>
  <r>
    <x v="714"/>
    <x v="714"/>
    <x v="22"/>
    <x v="13"/>
    <x v="2"/>
    <x v="0"/>
    <x v="714"/>
    <x v="2"/>
    <x v="2"/>
    <x v="22"/>
    <x v="3"/>
    <x v="9"/>
    <x v="0"/>
    <x v="668"/>
    <x v="3"/>
    <x v="9"/>
    <x v="445"/>
    <x v="75"/>
  </r>
  <r>
    <x v="715"/>
    <x v="715"/>
    <x v="23"/>
    <x v="8"/>
    <x v="0"/>
    <x v="0"/>
    <x v="715"/>
    <x v="0"/>
    <x v="8"/>
    <x v="0"/>
    <x v="0"/>
    <x v="7"/>
    <x v="0"/>
    <x v="669"/>
    <x v="0"/>
    <x v="10"/>
    <x v="30"/>
    <x v="73"/>
  </r>
  <r>
    <x v="716"/>
    <x v="716"/>
    <x v="24"/>
    <x v="17"/>
    <x v="1"/>
    <x v="0"/>
    <x v="716"/>
    <x v="1"/>
    <x v="0"/>
    <x v="1"/>
    <x v="1"/>
    <x v="6"/>
    <x v="0"/>
    <x v="670"/>
    <x v="1"/>
    <x v="37"/>
    <x v="446"/>
    <x v="5"/>
  </r>
  <r>
    <x v="717"/>
    <x v="717"/>
    <x v="25"/>
    <x v="9"/>
    <x v="1"/>
    <x v="0"/>
    <x v="717"/>
    <x v="2"/>
    <x v="0"/>
    <x v="13"/>
    <x v="2"/>
    <x v="9"/>
    <x v="0"/>
    <x v="671"/>
    <x v="2"/>
    <x v="14"/>
    <x v="65"/>
    <x v="10"/>
  </r>
  <r>
    <x v="718"/>
    <x v="718"/>
    <x v="26"/>
    <x v="28"/>
    <x v="0"/>
    <x v="0"/>
    <x v="718"/>
    <x v="0"/>
    <x v="1"/>
    <x v="14"/>
    <x v="3"/>
    <x v="9"/>
    <x v="0"/>
    <x v="672"/>
    <x v="3"/>
    <x v="9"/>
    <x v="178"/>
    <x v="6"/>
  </r>
  <r>
    <x v="719"/>
    <x v="719"/>
    <x v="11"/>
    <x v="14"/>
    <x v="1"/>
    <x v="0"/>
    <x v="719"/>
    <x v="1"/>
    <x v="8"/>
    <x v="15"/>
    <x v="4"/>
    <x v="7"/>
    <x v="1"/>
    <x v="673"/>
    <x v="4"/>
    <x v="31"/>
    <x v="117"/>
    <x v="28"/>
  </r>
  <r>
    <x v="720"/>
    <x v="720"/>
    <x v="17"/>
    <x v="25"/>
    <x v="0"/>
    <x v="0"/>
    <x v="720"/>
    <x v="2"/>
    <x v="1"/>
    <x v="16"/>
    <x v="5"/>
    <x v="3"/>
    <x v="0"/>
    <x v="674"/>
    <x v="5"/>
    <x v="11"/>
    <x v="227"/>
    <x v="84"/>
  </r>
  <r>
    <x v="721"/>
    <x v="721"/>
    <x v="22"/>
    <x v="23"/>
    <x v="1"/>
    <x v="0"/>
    <x v="721"/>
    <x v="0"/>
    <x v="1"/>
    <x v="6"/>
    <x v="0"/>
    <x v="0"/>
    <x v="0"/>
    <x v="675"/>
    <x v="0"/>
    <x v="0"/>
    <x v="248"/>
    <x v="21"/>
  </r>
  <r>
    <x v="722"/>
    <x v="722"/>
    <x v="4"/>
    <x v="13"/>
    <x v="1"/>
    <x v="0"/>
    <x v="722"/>
    <x v="1"/>
    <x v="8"/>
    <x v="7"/>
    <x v="1"/>
    <x v="4"/>
    <x v="0"/>
    <x v="676"/>
    <x v="1"/>
    <x v="9"/>
    <x v="20"/>
    <x v="46"/>
  </r>
  <r>
    <x v="723"/>
    <x v="723"/>
    <x v="12"/>
    <x v="1"/>
    <x v="0"/>
    <x v="0"/>
    <x v="723"/>
    <x v="2"/>
    <x v="1"/>
    <x v="8"/>
    <x v="2"/>
    <x v="9"/>
    <x v="1"/>
    <x v="677"/>
    <x v="2"/>
    <x v="14"/>
    <x v="445"/>
    <x v="92"/>
  </r>
  <r>
    <x v="724"/>
    <x v="724"/>
    <x v="24"/>
    <x v="9"/>
    <x v="1"/>
    <x v="0"/>
    <x v="724"/>
    <x v="0"/>
    <x v="8"/>
    <x v="18"/>
    <x v="3"/>
    <x v="4"/>
    <x v="1"/>
    <x v="678"/>
    <x v="3"/>
    <x v="5"/>
    <x v="321"/>
    <x v="29"/>
  </r>
  <r>
    <x v="725"/>
    <x v="725"/>
    <x v="25"/>
    <x v="2"/>
    <x v="1"/>
    <x v="0"/>
    <x v="725"/>
    <x v="1"/>
    <x v="0"/>
    <x v="19"/>
    <x v="0"/>
    <x v="3"/>
    <x v="1"/>
    <x v="679"/>
    <x v="0"/>
    <x v="12"/>
    <x v="138"/>
    <x v="4"/>
  </r>
  <r>
    <x v="726"/>
    <x v="726"/>
    <x v="27"/>
    <x v="23"/>
    <x v="0"/>
    <x v="0"/>
    <x v="726"/>
    <x v="2"/>
    <x v="8"/>
    <x v="20"/>
    <x v="1"/>
    <x v="14"/>
    <x v="1"/>
    <x v="680"/>
    <x v="1"/>
    <x v="3"/>
    <x v="447"/>
    <x v="15"/>
  </r>
  <r>
    <x v="727"/>
    <x v="727"/>
    <x v="40"/>
    <x v="11"/>
    <x v="1"/>
    <x v="0"/>
    <x v="727"/>
    <x v="0"/>
    <x v="1"/>
    <x v="21"/>
    <x v="2"/>
    <x v="9"/>
    <x v="1"/>
    <x v="681"/>
    <x v="2"/>
    <x v="14"/>
    <x v="448"/>
    <x v="19"/>
  </r>
  <r>
    <x v="728"/>
    <x v="728"/>
    <x v="28"/>
    <x v="5"/>
    <x v="0"/>
    <x v="1"/>
    <x v="728"/>
    <x v="1"/>
    <x v="8"/>
    <x v="22"/>
    <x v="3"/>
    <x v="2"/>
    <x v="1"/>
    <x v="682"/>
    <x v="3"/>
    <x v="15"/>
    <x v="415"/>
    <x v="33"/>
  </r>
  <r>
    <x v="729"/>
    <x v="729"/>
    <x v="29"/>
    <x v="0"/>
    <x v="1"/>
    <x v="0"/>
    <x v="729"/>
    <x v="2"/>
    <x v="8"/>
    <x v="0"/>
    <x v="0"/>
    <x v="6"/>
    <x v="1"/>
    <x v="683"/>
    <x v="0"/>
    <x v="8"/>
    <x v="228"/>
    <x v="34"/>
  </r>
  <r>
    <x v="730"/>
    <x v="730"/>
    <x v="30"/>
    <x v="18"/>
    <x v="0"/>
    <x v="0"/>
    <x v="730"/>
    <x v="0"/>
    <x v="2"/>
    <x v="1"/>
    <x v="1"/>
    <x v="12"/>
    <x v="0"/>
    <x v="684"/>
    <x v="1"/>
    <x v="28"/>
    <x v="155"/>
    <x v="31"/>
  </r>
  <r>
    <x v="731"/>
    <x v="731"/>
    <x v="31"/>
    <x v="12"/>
    <x v="1"/>
    <x v="0"/>
    <x v="731"/>
    <x v="1"/>
    <x v="8"/>
    <x v="2"/>
    <x v="2"/>
    <x v="11"/>
    <x v="0"/>
    <x v="685"/>
    <x v="2"/>
    <x v="17"/>
    <x v="122"/>
    <x v="79"/>
  </r>
  <r>
    <x v="732"/>
    <x v="732"/>
    <x v="32"/>
    <x v="6"/>
    <x v="1"/>
    <x v="0"/>
    <x v="732"/>
    <x v="2"/>
    <x v="0"/>
    <x v="3"/>
    <x v="3"/>
    <x v="3"/>
    <x v="0"/>
    <x v="686"/>
    <x v="3"/>
    <x v="3"/>
    <x v="323"/>
    <x v="36"/>
  </r>
  <r>
    <x v="733"/>
    <x v="733"/>
    <x v="33"/>
    <x v="6"/>
    <x v="0"/>
    <x v="0"/>
    <x v="733"/>
    <x v="0"/>
    <x v="0"/>
    <x v="4"/>
    <x v="0"/>
    <x v="12"/>
    <x v="1"/>
    <x v="687"/>
    <x v="0"/>
    <x v="23"/>
    <x v="237"/>
    <x v="9"/>
  </r>
  <r>
    <x v="734"/>
    <x v="734"/>
    <x v="16"/>
    <x v="13"/>
    <x v="1"/>
    <x v="1"/>
    <x v="734"/>
    <x v="1"/>
    <x v="0"/>
    <x v="5"/>
    <x v="1"/>
    <x v="14"/>
    <x v="1"/>
    <x v="688"/>
    <x v="1"/>
    <x v="3"/>
    <x v="208"/>
    <x v="46"/>
  </r>
  <r>
    <x v="735"/>
    <x v="735"/>
    <x v="17"/>
    <x v="15"/>
    <x v="0"/>
    <x v="0"/>
    <x v="735"/>
    <x v="2"/>
    <x v="8"/>
    <x v="6"/>
    <x v="2"/>
    <x v="9"/>
    <x v="1"/>
    <x v="689"/>
    <x v="2"/>
    <x v="14"/>
    <x v="227"/>
    <x v="27"/>
  </r>
  <r>
    <x v="736"/>
    <x v="736"/>
    <x v="18"/>
    <x v="27"/>
    <x v="1"/>
    <x v="0"/>
    <x v="736"/>
    <x v="0"/>
    <x v="0"/>
    <x v="7"/>
    <x v="3"/>
    <x v="4"/>
    <x v="1"/>
    <x v="690"/>
    <x v="3"/>
    <x v="5"/>
    <x v="449"/>
    <x v="29"/>
  </r>
  <r>
    <x v="737"/>
    <x v="737"/>
    <x v="19"/>
    <x v="12"/>
    <x v="0"/>
    <x v="0"/>
    <x v="737"/>
    <x v="1"/>
    <x v="8"/>
    <x v="8"/>
    <x v="4"/>
    <x v="4"/>
    <x v="1"/>
    <x v="691"/>
    <x v="4"/>
    <x v="41"/>
    <x v="450"/>
    <x v="11"/>
  </r>
  <r>
    <x v="738"/>
    <x v="738"/>
    <x v="20"/>
    <x v="9"/>
    <x v="1"/>
    <x v="0"/>
    <x v="738"/>
    <x v="2"/>
    <x v="0"/>
    <x v="9"/>
    <x v="0"/>
    <x v="7"/>
    <x v="1"/>
    <x v="692"/>
    <x v="0"/>
    <x v="10"/>
    <x v="197"/>
    <x v="42"/>
  </r>
  <r>
    <x v="739"/>
    <x v="739"/>
    <x v="21"/>
    <x v="29"/>
    <x v="2"/>
    <x v="0"/>
    <x v="739"/>
    <x v="0"/>
    <x v="2"/>
    <x v="10"/>
    <x v="1"/>
    <x v="3"/>
    <x v="1"/>
    <x v="693"/>
    <x v="1"/>
    <x v="13"/>
    <x v="212"/>
    <x v="1"/>
  </r>
  <r>
    <x v="740"/>
    <x v="740"/>
    <x v="22"/>
    <x v="23"/>
    <x v="0"/>
    <x v="0"/>
    <x v="740"/>
    <x v="1"/>
    <x v="1"/>
    <x v="11"/>
    <x v="2"/>
    <x v="2"/>
    <x v="0"/>
    <x v="694"/>
    <x v="2"/>
    <x v="2"/>
    <x v="89"/>
    <x v="19"/>
  </r>
  <r>
    <x v="741"/>
    <x v="741"/>
    <x v="23"/>
    <x v="5"/>
    <x v="1"/>
    <x v="0"/>
    <x v="741"/>
    <x v="2"/>
    <x v="8"/>
    <x v="12"/>
    <x v="3"/>
    <x v="9"/>
    <x v="0"/>
    <x v="695"/>
    <x v="3"/>
    <x v="9"/>
    <x v="42"/>
    <x v="5"/>
  </r>
  <r>
    <x v="742"/>
    <x v="742"/>
    <x v="24"/>
    <x v="22"/>
    <x v="1"/>
    <x v="0"/>
    <x v="742"/>
    <x v="0"/>
    <x v="1"/>
    <x v="0"/>
    <x v="0"/>
    <x v="1"/>
    <x v="0"/>
    <x v="696"/>
    <x v="0"/>
    <x v="21"/>
    <x v="339"/>
    <x v="17"/>
  </r>
  <r>
    <x v="743"/>
    <x v="743"/>
    <x v="25"/>
    <x v="15"/>
    <x v="0"/>
    <x v="0"/>
    <x v="743"/>
    <x v="1"/>
    <x v="2"/>
    <x v="1"/>
    <x v="1"/>
    <x v="7"/>
    <x v="1"/>
    <x v="697"/>
    <x v="1"/>
    <x v="6"/>
    <x v="243"/>
    <x v="31"/>
  </r>
  <r>
    <x v="744"/>
    <x v="744"/>
    <x v="37"/>
    <x v="5"/>
    <x v="1"/>
    <x v="0"/>
    <x v="744"/>
    <x v="2"/>
    <x v="0"/>
    <x v="2"/>
    <x v="2"/>
    <x v="2"/>
    <x v="1"/>
    <x v="698"/>
    <x v="2"/>
    <x v="2"/>
    <x v="285"/>
    <x v="2"/>
  </r>
  <r>
    <x v="745"/>
    <x v="745"/>
    <x v="1"/>
    <x v="29"/>
    <x v="0"/>
    <x v="0"/>
    <x v="745"/>
    <x v="0"/>
    <x v="0"/>
    <x v="3"/>
    <x v="3"/>
    <x v="4"/>
    <x v="1"/>
    <x v="699"/>
    <x v="3"/>
    <x v="5"/>
    <x v="451"/>
    <x v="10"/>
  </r>
  <r>
    <x v="746"/>
    <x v="746"/>
    <x v="2"/>
    <x v="17"/>
    <x v="1"/>
    <x v="0"/>
    <x v="746"/>
    <x v="1"/>
    <x v="0"/>
    <x v="4"/>
    <x v="4"/>
    <x v="0"/>
    <x v="1"/>
    <x v="700"/>
    <x v="4"/>
    <x v="36"/>
    <x v="103"/>
    <x v="28"/>
  </r>
  <r>
    <x v="747"/>
    <x v="747"/>
    <x v="3"/>
    <x v="28"/>
    <x v="1"/>
    <x v="0"/>
    <x v="747"/>
    <x v="2"/>
    <x v="0"/>
    <x v="5"/>
    <x v="5"/>
    <x v="2"/>
    <x v="1"/>
    <x v="701"/>
    <x v="5"/>
    <x v="42"/>
    <x v="223"/>
    <x v="52"/>
  </r>
  <r>
    <x v="748"/>
    <x v="748"/>
    <x v="4"/>
    <x v="0"/>
    <x v="0"/>
    <x v="0"/>
    <x v="748"/>
    <x v="0"/>
    <x v="0"/>
    <x v="6"/>
    <x v="0"/>
    <x v="0"/>
    <x v="1"/>
    <x v="702"/>
    <x v="0"/>
    <x v="0"/>
    <x v="235"/>
    <x v="41"/>
  </r>
  <r>
    <x v="749"/>
    <x v="749"/>
    <x v="5"/>
    <x v="10"/>
    <x v="1"/>
    <x v="0"/>
    <x v="749"/>
    <x v="0"/>
    <x v="1"/>
    <x v="7"/>
    <x v="1"/>
    <x v="7"/>
    <x v="1"/>
    <x v="703"/>
    <x v="1"/>
    <x v="6"/>
    <x v="281"/>
    <x v="18"/>
  </r>
  <r>
    <x v="750"/>
    <x v="750"/>
    <x v="37"/>
    <x v="8"/>
    <x v="0"/>
    <x v="0"/>
    <x v="750"/>
    <x v="0"/>
    <x v="0"/>
    <x v="8"/>
    <x v="2"/>
    <x v="2"/>
    <x v="0"/>
    <x v="704"/>
    <x v="2"/>
    <x v="2"/>
    <x v="215"/>
    <x v="2"/>
  </r>
  <r>
    <x v="751"/>
    <x v="751"/>
    <x v="1"/>
    <x v="15"/>
    <x v="1"/>
    <x v="0"/>
    <x v="751"/>
    <x v="1"/>
    <x v="1"/>
    <x v="9"/>
    <x v="3"/>
    <x v="4"/>
    <x v="0"/>
    <x v="705"/>
    <x v="3"/>
    <x v="5"/>
    <x v="452"/>
    <x v="76"/>
  </r>
  <r>
    <x v="752"/>
    <x v="752"/>
    <x v="2"/>
    <x v="27"/>
    <x v="2"/>
    <x v="1"/>
    <x v="752"/>
    <x v="2"/>
    <x v="2"/>
    <x v="10"/>
    <x v="0"/>
    <x v="12"/>
    <x v="0"/>
    <x v="706"/>
    <x v="0"/>
    <x v="23"/>
    <x v="41"/>
    <x v="52"/>
  </r>
  <r>
    <x v="753"/>
    <x v="753"/>
    <x v="3"/>
    <x v="23"/>
    <x v="0"/>
    <x v="0"/>
    <x v="753"/>
    <x v="0"/>
    <x v="3"/>
    <x v="11"/>
    <x v="1"/>
    <x v="6"/>
    <x v="1"/>
    <x v="707"/>
    <x v="1"/>
    <x v="37"/>
    <x v="377"/>
    <x v="5"/>
  </r>
  <r>
    <x v="754"/>
    <x v="754"/>
    <x v="4"/>
    <x v="6"/>
    <x v="1"/>
    <x v="0"/>
    <x v="754"/>
    <x v="1"/>
    <x v="4"/>
    <x v="12"/>
    <x v="2"/>
    <x v="2"/>
    <x v="1"/>
    <x v="708"/>
    <x v="2"/>
    <x v="2"/>
    <x v="453"/>
    <x v="2"/>
  </r>
  <r>
    <x v="755"/>
    <x v="755"/>
    <x v="5"/>
    <x v="21"/>
    <x v="1"/>
    <x v="0"/>
    <x v="755"/>
    <x v="2"/>
    <x v="5"/>
    <x v="0"/>
    <x v="3"/>
    <x v="2"/>
    <x v="1"/>
    <x v="709"/>
    <x v="3"/>
    <x v="15"/>
    <x v="454"/>
    <x v="95"/>
  </r>
  <r>
    <x v="756"/>
    <x v="756"/>
    <x v="7"/>
    <x v="3"/>
    <x v="0"/>
    <x v="0"/>
    <x v="756"/>
    <x v="0"/>
    <x v="6"/>
    <x v="1"/>
    <x v="4"/>
    <x v="8"/>
    <x v="1"/>
    <x v="710"/>
    <x v="4"/>
    <x v="6"/>
    <x v="302"/>
    <x v="29"/>
  </r>
  <r>
    <x v="757"/>
    <x v="757"/>
    <x v="7"/>
    <x v="3"/>
    <x v="1"/>
    <x v="0"/>
    <x v="757"/>
    <x v="1"/>
    <x v="0"/>
    <x v="2"/>
    <x v="0"/>
    <x v="7"/>
    <x v="1"/>
    <x v="711"/>
    <x v="0"/>
    <x v="10"/>
    <x v="455"/>
    <x v="67"/>
  </r>
  <r>
    <x v="758"/>
    <x v="758"/>
    <x v="8"/>
    <x v="28"/>
    <x v="1"/>
    <x v="1"/>
    <x v="758"/>
    <x v="2"/>
    <x v="3"/>
    <x v="3"/>
    <x v="1"/>
    <x v="3"/>
    <x v="1"/>
    <x v="712"/>
    <x v="1"/>
    <x v="13"/>
    <x v="428"/>
    <x v="4"/>
  </r>
  <r>
    <x v="759"/>
    <x v="759"/>
    <x v="5"/>
    <x v="28"/>
    <x v="0"/>
    <x v="0"/>
    <x v="759"/>
    <x v="0"/>
    <x v="0"/>
    <x v="4"/>
    <x v="2"/>
    <x v="2"/>
    <x v="0"/>
    <x v="713"/>
    <x v="2"/>
    <x v="2"/>
    <x v="194"/>
    <x v="51"/>
  </r>
  <r>
    <x v="760"/>
    <x v="760"/>
    <x v="9"/>
    <x v="8"/>
    <x v="1"/>
    <x v="0"/>
    <x v="760"/>
    <x v="1"/>
    <x v="0"/>
    <x v="5"/>
    <x v="3"/>
    <x v="3"/>
    <x v="1"/>
    <x v="714"/>
    <x v="3"/>
    <x v="3"/>
    <x v="456"/>
    <x v="88"/>
  </r>
  <r>
    <x v="761"/>
    <x v="761"/>
    <x v="10"/>
    <x v="27"/>
    <x v="2"/>
    <x v="0"/>
    <x v="761"/>
    <x v="2"/>
    <x v="7"/>
    <x v="6"/>
    <x v="0"/>
    <x v="0"/>
    <x v="0"/>
    <x v="715"/>
    <x v="0"/>
    <x v="0"/>
    <x v="457"/>
    <x v="52"/>
  </r>
  <r>
    <x v="762"/>
    <x v="762"/>
    <x v="39"/>
    <x v="4"/>
    <x v="0"/>
    <x v="0"/>
    <x v="762"/>
    <x v="0"/>
    <x v="4"/>
    <x v="7"/>
    <x v="1"/>
    <x v="4"/>
    <x v="1"/>
    <x v="716"/>
    <x v="1"/>
    <x v="9"/>
    <x v="47"/>
    <x v="82"/>
  </r>
  <r>
    <x v="763"/>
    <x v="763"/>
    <x v="11"/>
    <x v="4"/>
    <x v="1"/>
    <x v="0"/>
    <x v="763"/>
    <x v="1"/>
    <x v="7"/>
    <x v="8"/>
    <x v="2"/>
    <x v="2"/>
    <x v="0"/>
    <x v="717"/>
    <x v="2"/>
    <x v="2"/>
    <x v="228"/>
    <x v="92"/>
  </r>
  <r>
    <x v="764"/>
    <x v="764"/>
    <x v="5"/>
    <x v="16"/>
    <x v="2"/>
    <x v="1"/>
    <x v="764"/>
    <x v="2"/>
    <x v="8"/>
    <x v="9"/>
    <x v="3"/>
    <x v="1"/>
    <x v="1"/>
    <x v="718"/>
    <x v="3"/>
    <x v="20"/>
    <x v="458"/>
    <x v="29"/>
  </r>
  <r>
    <x v="765"/>
    <x v="765"/>
    <x v="12"/>
    <x v="8"/>
    <x v="0"/>
    <x v="0"/>
    <x v="765"/>
    <x v="0"/>
    <x v="7"/>
    <x v="10"/>
    <x v="4"/>
    <x v="1"/>
    <x v="0"/>
    <x v="719"/>
    <x v="4"/>
    <x v="7"/>
    <x v="346"/>
    <x v="22"/>
  </r>
  <r>
    <x v="766"/>
    <x v="766"/>
    <x v="10"/>
    <x v="26"/>
    <x v="1"/>
    <x v="0"/>
    <x v="766"/>
    <x v="1"/>
    <x v="6"/>
    <x v="11"/>
    <x v="5"/>
    <x v="1"/>
    <x v="1"/>
    <x v="720"/>
    <x v="5"/>
    <x v="38"/>
    <x v="459"/>
    <x v="82"/>
  </r>
  <r>
    <x v="767"/>
    <x v="767"/>
    <x v="4"/>
    <x v="25"/>
    <x v="2"/>
    <x v="0"/>
    <x v="767"/>
    <x v="2"/>
    <x v="9"/>
    <x v="12"/>
    <x v="0"/>
    <x v="3"/>
    <x v="0"/>
    <x v="721"/>
    <x v="0"/>
    <x v="12"/>
    <x v="365"/>
    <x v="15"/>
  </r>
  <r>
    <x v="768"/>
    <x v="768"/>
    <x v="13"/>
    <x v="22"/>
    <x v="0"/>
    <x v="0"/>
    <x v="768"/>
    <x v="0"/>
    <x v="6"/>
    <x v="0"/>
    <x v="1"/>
    <x v="5"/>
    <x v="1"/>
    <x v="722"/>
    <x v="1"/>
    <x v="15"/>
    <x v="28"/>
    <x v="5"/>
  </r>
  <r>
    <x v="769"/>
    <x v="769"/>
    <x v="14"/>
    <x v="20"/>
    <x v="1"/>
    <x v="0"/>
    <x v="769"/>
    <x v="1"/>
    <x v="9"/>
    <x v="1"/>
    <x v="2"/>
    <x v="9"/>
    <x v="0"/>
    <x v="723"/>
    <x v="2"/>
    <x v="14"/>
    <x v="287"/>
    <x v="47"/>
  </r>
  <r>
    <x v="770"/>
    <x v="770"/>
    <x v="15"/>
    <x v="21"/>
    <x v="1"/>
    <x v="1"/>
    <x v="770"/>
    <x v="2"/>
    <x v="9"/>
    <x v="2"/>
    <x v="3"/>
    <x v="9"/>
    <x v="1"/>
    <x v="724"/>
    <x v="3"/>
    <x v="9"/>
    <x v="418"/>
    <x v="5"/>
  </r>
  <r>
    <x v="771"/>
    <x v="771"/>
    <x v="16"/>
    <x v="28"/>
    <x v="0"/>
    <x v="0"/>
    <x v="771"/>
    <x v="0"/>
    <x v="7"/>
    <x v="3"/>
    <x v="0"/>
    <x v="4"/>
    <x v="0"/>
    <x v="725"/>
    <x v="0"/>
    <x v="4"/>
    <x v="460"/>
    <x v="17"/>
  </r>
  <r>
    <x v="772"/>
    <x v="772"/>
    <x v="17"/>
    <x v="11"/>
    <x v="1"/>
    <x v="0"/>
    <x v="772"/>
    <x v="1"/>
    <x v="7"/>
    <x v="4"/>
    <x v="1"/>
    <x v="14"/>
    <x v="1"/>
    <x v="726"/>
    <x v="1"/>
    <x v="3"/>
    <x v="237"/>
    <x v="20"/>
  </r>
  <r>
    <x v="773"/>
    <x v="773"/>
    <x v="18"/>
    <x v="5"/>
    <x v="2"/>
    <x v="0"/>
    <x v="773"/>
    <x v="2"/>
    <x v="1"/>
    <x v="5"/>
    <x v="2"/>
    <x v="11"/>
    <x v="0"/>
    <x v="727"/>
    <x v="2"/>
    <x v="17"/>
    <x v="259"/>
    <x v="58"/>
  </r>
  <r>
    <x v="774"/>
    <x v="774"/>
    <x v="19"/>
    <x v="24"/>
    <x v="0"/>
    <x v="0"/>
    <x v="774"/>
    <x v="0"/>
    <x v="5"/>
    <x v="6"/>
    <x v="0"/>
    <x v="7"/>
    <x v="1"/>
    <x v="728"/>
    <x v="0"/>
    <x v="10"/>
    <x v="444"/>
    <x v="25"/>
  </r>
  <r>
    <x v="775"/>
    <x v="775"/>
    <x v="20"/>
    <x v="11"/>
    <x v="1"/>
    <x v="0"/>
    <x v="775"/>
    <x v="1"/>
    <x v="7"/>
    <x v="7"/>
    <x v="1"/>
    <x v="12"/>
    <x v="0"/>
    <x v="729"/>
    <x v="1"/>
    <x v="28"/>
    <x v="461"/>
    <x v="1"/>
  </r>
  <r>
    <x v="776"/>
    <x v="776"/>
    <x v="21"/>
    <x v="2"/>
    <x v="2"/>
    <x v="1"/>
    <x v="776"/>
    <x v="2"/>
    <x v="2"/>
    <x v="8"/>
    <x v="2"/>
    <x v="9"/>
    <x v="1"/>
    <x v="730"/>
    <x v="2"/>
    <x v="14"/>
    <x v="462"/>
    <x v="66"/>
  </r>
  <r>
    <x v="777"/>
    <x v="777"/>
    <x v="22"/>
    <x v="12"/>
    <x v="0"/>
    <x v="0"/>
    <x v="777"/>
    <x v="0"/>
    <x v="4"/>
    <x v="9"/>
    <x v="3"/>
    <x v="1"/>
    <x v="1"/>
    <x v="731"/>
    <x v="3"/>
    <x v="20"/>
    <x v="329"/>
    <x v="69"/>
  </r>
  <r>
    <x v="778"/>
    <x v="778"/>
    <x v="23"/>
    <x v="0"/>
    <x v="1"/>
    <x v="0"/>
    <x v="778"/>
    <x v="1"/>
    <x v="0"/>
    <x v="10"/>
    <x v="0"/>
    <x v="5"/>
    <x v="1"/>
    <x v="732"/>
    <x v="0"/>
    <x v="30"/>
    <x v="338"/>
    <x v="1"/>
  </r>
  <r>
    <x v="779"/>
    <x v="779"/>
    <x v="24"/>
    <x v="14"/>
    <x v="2"/>
    <x v="0"/>
    <x v="779"/>
    <x v="2"/>
    <x v="3"/>
    <x v="11"/>
    <x v="1"/>
    <x v="4"/>
    <x v="1"/>
    <x v="733"/>
    <x v="1"/>
    <x v="9"/>
    <x v="129"/>
    <x v="28"/>
  </r>
  <r>
    <x v="780"/>
    <x v="780"/>
    <x v="25"/>
    <x v="6"/>
    <x v="0"/>
    <x v="0"/>
    <x v="780"/>
    <x v="0"/>
    <x v="1"/>
    <x v="12"/>
    <x v="2"/>
    <x v="9"/>
    <x v="1"/>
    <x v="734"/>
    <x v="2"/>
    <x v="14"/>
    <x v="250"/>
    <x v="93"/>
  </r>
  <r>
    <x v="781"/>
    <x v="781"/>
    <x v="26"/>
    <x v="9"/>
    <x v="1"/>
    <x v="0"/>
    <x v="781"/>
    <x v="1"/>
    <x v="0"/>
    <x v="0"/>
    <x v="3"/>
    <x v="4"/>
    <x v="0"/>
    <x v="735"/>
    <x v="3"/>
    <x v="5"/>
    <x v="299"/>
    <x v="87"/>
  </r>
  <r>
    <x v="782"/>
    <x v="782"/>
    <x v="11"/>
    <x v="1"/>
    <x v="1"/>
    <x v="1"/>
    <x v="782"/>
    <x v="2"/>
    <x v="4"/>
    <x v="1"/>
    <x v="4"/>
    <x v="0"/>
    <x v="1"/>
    <x v="736"/>
    <x v="4"/>
    <x v="36"/>
    <x v="463"/>
    <x v="20"/>
  </r>
  <r>
    <x v="783"/>
    <x v="783"/>
    <x v="17"/>
    <x v="15"/>
    <x v="0"/>
    <x v="0"/>
    <x v="783"/>
    <x v="0"/>
    <x v="0"/>
    <x v="2"/>
    <x v="0"/>
    <x v="4"/>
    <x v="0"/>
    <x v="737"/>
    <x v="0"/>
    <x v="4"/>
    <x v="409"/>
    <x v="22"/>
  </r>
  <r>
    <x v="784"/>
    <x v="784"/>
    <x v="22"/>
    <x v="0"/>
    <x v="1"/>
    <x v="0"/>
    <x v="784"/>
    <x v="1"/>
    <x v="8"/>
    <x v="3"/>
    <x v="1"/>
    <x v="3"/>
    <x v="1"/>
    <x v="738"/>
    <x v="1"/>
    <x v="13"/>
    <x v="464"/>
    <x v="9"/>
  </r>
  <r>
    <x v="785"/>
    <x v="785"/>
    <x v="4"/>
    <x v="27"/>
    <x v="2"/>
    <x v="0"/>
    <x v="785"/>
    <x v="2"/>
    <x v="6"/>
    <x v="4"/>
    <x v="2"/>
    <x v="2"/>
    <x v="0"/>
    <x v="739"/>
    <x v="2"/>
    <x v="2"/>
    <x v="375"/>
    <x v="47"/>
  </r>
  <r>
    <x v="786"/>
    <x v="786"/>
    <x v="12"/>
    <x v="16"/>
    <x v="0"/>
    <x v="0"/>
    <x v="786"/>
    <x v="0"/>
    <x v="6"/>
    <x v="5"/>
    <x v="3"/>
    <x v="4"/>
    <x v="1"/>
    <x v="740"/>
    <x v="3"/>
    <x v="5"/>
    <x v="79"/>
    <x v="87"/>
  </r>
  <r>
    <x v="787"/>
    <x v="787"/>
    <x v="24"/>
    <x v="12"/>
    <x v="1"/>
    <x v="0"/>
    <x v="787"/>
    <x v="1"/>
    <x v="8"/>
    <x v="6"/>
    <x v="0"/>
    <x v="3"/>
    <x v="0"/>
    <x v="741"/>
    <x v="0"/>
    <x v="12"/>
    <x v="55"/>
    <x v="34"/>
  </r>
  <r>
    <x v="788"/>
    <x v="788"/>
    <x v="25"/>
    <x v="0"/>
    <x v="1"/>
    <x v="1"/>
    <x v="788"/>
    <x v="2"/>
    <x v="5"/>
    <x v="7"/>
    <x v="1"/>
    <x v="1"/>
    <x v="1"/>
    <x v="742"/>
    <x v="1"/>
    <x v="1"/>
    <x v="465"/>
    <x v="41"/>
  </r>
  <r>
    <x v="789"/>
    <x v="789"/>
    <x v="27"/>
    <x v="23"/>
    <x v="0"/>
    <x v="0"/>
    <x v="789"/>
    <x v="0"/>
    <x v="1"/>
    <x v="8"/>
    <x v="2"/>
    <x v="11"/>
    <x v="0"/>
    <x v="743"/>
    <x v="2"/>
    <x v="17"/>
    <x v="252"/>
    <x v="57"/>
  </r>
  <r>
    <x v="790"/>
    <x v="790"/>
    <x v="9"/>
    <x v="16"/>
    <x v="1"/>
    <x v="0"/>
    <x v="790"/>
    <x v="1"/>
    <x v="7"/>
    <x v="9"/>
    <x v="3"/>
    <x v="5"/>
    <x v="1"/>
    <x v="744"/>
    <x v="3"/>
    <x v="6"/>
    <x v="294"/>
    <x v="69"/>
  </r>
  <r>
    <x v="791"/>
    <x v="791"/>
    <x v="28"/>
    <x v="11"/>
    <x v="2"/>
    <x v="0"/>
    <x v="791"/>
    <x v="2"/>
    <x v="3"/>
    <x v="10"/>
    <x v="4"/>
    <x v="8"/>
    <x v="0"/>
    <x v="745"/>
    <x v="4"/>
    <x v="6"/>
    <x v="414"/>
    <x v="82"/>
  </r>
  <r>
    <x v="792"/>
    <x v="792"/>
    <x v="29"/>
    <x v="3"/>
    <x v="0"/>
    <x v="0"/>
    <x v="792"/>
    <x v="0"/>
    <x v="3"/>
    <x v="11"/>
    <x v="5"/>
    <x v="5"/>
    <x v="1"/>
    <x v="746"/>
    <x v="5"/>
    <x v="34"/>
    <x v="466"/>
    <x v="52"/>
  </r>
  <r>
    <x v="793"/>
    <x v="793"/>
    <x v="30"/>
    <x v="4"/>
    <x v="1"/>
    <x v="0"/>
    <x v="793"/>
    <x v="1"/>
    <x v="9"/>
    <x v="12"/>
    <x v="0"/>
    <x v="7"/>
    <x v="0"/>
    <x v="747"/>
    <x v="0"/>
    <x v="10"/>
    <x v="218"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3:C45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2"/>
        <item x="1"/>
        <item x="0"/>
      </items>
    </pivotField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Final Price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4:D5" firstHeaderRow="0" firstDataRow="1" firstDataCol="0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name="Row Labels" compact="0" defaultSubtotal="0" showAll="0">
      <items count="3">
        <item n="Poor Satisfication" x="2"/>
        <item x="1"/>
        <item x="0"/>
      </items>
    </pivotField>
    <pivotField compact="0" defaultSubtotal="0" showAll="0">
      <items count="3">
        <item x="2"/>
        <item x="1"/>
        <item x="0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sales" fld="16" subtotal="average" baseField="0" baseItem="0"/>
    <dataField name="Highest Sales" fld="16" subtotal="max" baseField="0" baseItem="0"/>
    <dataField name="Lowest Sales" fld="16" subtotal="min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B4:F14" firstHeaderRow="0" firstDataRow="1" firstDataCol="2"/>
  <pivotFields count="20">
    <pivotField compact="0" insertBlankRow="1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insertBlankRow="1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insertBlankRow="1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insertBlankRow="1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insertBlankRow="1" showAll="0">
      <items count="4">
        <item x="2"/>
        <item x="0"/>
        <item x="1"/>
        <item t="default"/>
      </items>
    </pivotField>
    <pivotField compact="0" insertBlankRow="1" showAll="0">
      <items count="3">
        <item x="1"/>
        <item x="0"/>
        <item t="default"/>
      </items>
    </pivotField>
    <pivotField compact="0" insertBlankRow="1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insertBlankRow="1" showAll="0">
      <items count="4">
        <item x="1"/>
        <item x="2"/>
        <item x="0"/>
        <item t="default"/>
      </items>
    </pivotField>
    <pivotField compact="0" insertBlankRow="1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insertBlankRow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insertBlankRow="1" showAll="0">
      <items count="7">
        <item x="4"/>
        <item x="1"/>
        <item x="0"/>
        <item x="5"/>
        <item x="3"/>
        <item x="2"/>
        <item t="default"/>
      </items>
    </pivotField>
    <pivotField compact="0" insertBlankRow="1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axis="axisRow" compact="0" insertBlankRow="1" showAll="0">
      <items count="3">
        <item x="0"/>
        <item x="1"/>
        <item t="default"/>
      </items>
    </pivotField>
    <pivotField compact="0" insertBlankRow="1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insertBlankRow="1" showAll="0">
      <items count="7">
        <item x="5"/>
        <item x="1"/>
        <item x="2"/>
        <item x="3"/>
        <item x="4"/>
        <item x="0"/>
        <item t="default"/>
      </items>
    </pivotField>
    <pivotField compact="0" insertBlankRow="1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insertBlankRow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insertBlankRow="1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insertBlankRow="1" showAll="0">
      <items count="4">
        <item x="2"/>
        <item x="1"/>
        <item x="0"/>
        <item t="default"/>
      </items>
    </pivotField>
    <pivotField compact="0" defaultSubtotal="0" showAll="0">
      <items count="3">
        <item x="2"/>
        <item x="1"/>
        <item x="0"/>
      </items>
    </pivotField>
  </pivotFields>
  <rowFields count="2">
    <field x="12"/>
    <field x="7"/>
  </rowFields>
  <rowItems count="10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Sales" fld="16" subtotal="count" baseField="0" baseItem="0"/>
    <dataField name="Overall Sales" fld="16" baseField="0" baseItem="0"/>
    <dataField name="Average Sales" fld="16" subtotal="average" baseField="0" baseItem="0"/>
  </dataFields>
  <formats count="2">
    <format dxfId="0">
      <pivotArea type="all" dataOnly="0" outline="0" fieldPosition="0"/>
    </format>
    <format dxfId="1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4:E8" firstHeaderRow="0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3">
        <item x="2"/>
        <item x="1"/>
        <item x="0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Sales" fld="16" subtotal="count" baseField="0" baseItem="0"/>
    <dataField name="Overall Sales" fld="16" baseField="0" baseItem="0"/>
    <dataField name="Average Sales" fld="16" subtotal="average" baseField="0" baseItem="0"/>
  </dataFields>
  <formats count="10">
    <format dxfId="2">
      <pivotArea type="all" dataOnly="0" outline="0" fieldPosition="0"/>
    </format>
    <format dxfId="3">
      <pivotArea collapsedLevelsAreSubtotals="1" fieldPosition="0">
        <references count="2">
          <reference field="7" count="1" selected="0">
            <x v="0"/>
          </reference>
          <reference field="4294967294" count="1" selected="0">
            <x v="2"/>
          </reference>
        </references>
      </pivotArea>
    </format>
    <format dxfId="4">
      <pivotArea collapsedLevelsAreSubtotals="1" fieldPosition="0">
        <references count="2">
          <reference field="7" count="1" selected="0">
            <x v="1"/>
          </reference>
          <reference field="4294967294" count="1" selected="0">
            <x v="2"/>
          </reference>
        </references>
      </pivotArea>
    </format>
    <format dxfId="5">
      <pivotArea collapsedLevelsAreSubtotals="1" fieldPosition="0">
        <references count="2">
          <reference field="7" count="1" selected="0">
            <x v="2"/>
          </reference>
          <reference field="4294967294" count="1" selected="0">
            <x v="2"/>
          </reference>
        </references>
      </pivotArea>
    </format>
    <format dxfId="6">
      <pivotArea collapsedLevelsAreSubtotals="1" fieldPosition="0">
        <references count="2">
          <reference field="7" count="1" selected="0">
            <x v="0"/>
          </reference>
          <reference field="4294967294" count="1" selected="0">
            <x v="2"/>
          </reference>
        </references>
      </pivotArea>
    </format>
    <format dxfId="7">
      <pivotArea collapsedLevelsAreSubtotals="1" fieldPosition="0">
        <references count="2">
          <reference field="7" count="1" selected="0">
            <x v="1"/>
          </reference>
          <reference field="4294967294" count="1" selected="0">
            <x v="2"/>
          </reference>
        </references>
      </pivotArea>
    </format>
    <format dxfId="8">
      <pivotArea collapsedLevelsAreSubtotals="1" fieldPosition="0">
        <references count="2">
          <reference field="7" count="1" selected="0">
            <x v="2"/>
          </reference>
          <reference field="4294967294" count="1" selected="0">
            <x v="2"/>
          </reference>
        </references>
      </pivotArea>
    </format>
    <format dxfId="9">
      <pivotArea collapsedLevelsAreSubtotals="1" fieldPosition="0">
        <references count="2">
          <reference field="7" count="1" selected="0">
            <x v="0"/>
          </reference>
          <reference field="4294967294" count="1" selected="0">
            <x v="2"/>
          </reference>
        </references>
      </pivotArea>
    </format>
    <format dxfId="10">
      <pivotArea collapsedLevelsAreSubtotals="1" fieldPosition="0">
        <references count="2">
          <reference field="7" count="1" selected="0">
            <x v="1"/>
          </reference>
          <reference field="4294967294" count="1" selected="0">
            <x v="2"/>
          </reference>
        </references>
      </pivotArea>
    </format>
    <format dxfId="11">
      <pivotArea collapsedLevelsAreSubtotals="1" fieldPosition="0">
        <references count="2">
          <reference field="7" count="1" selected="0">
            <x v="2"/>
          </reference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B3:D12" firstHeaderRow="1" firstDataRow="1" firstDataCol="2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compact="0" sortType="descending" showAll="0">
      <items count="7">
        <item x="5"/>
        <item x="1"/>
        <item x="2"/>
        <item x="3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defaultSubtotal="0" showAll="0">
      <items count="3">
        <item x="2"/>
        <item x="1"/>
        <item x="0"/>
      </items>
    </pivotField>
  </pivotFields>
  <rowFields count="2">
    <field x="19"/>
    <field x="14"/>
  </rowFields>
  <rowItems count="9">
    <i>
      <x/>
    </i>
    <i r="1">
      <x v="4"/>
    </i>
    <i r="1">
      <x/>
    </i>
    <i>
      <x v="1"/>
    </i>
    <i r="1">
      <x v="3"/>
    </i>
    <i r="1">
      <x v="1"/>
    </i>
    <i>
      <x v="2"/>
    </i>
    <i r="1">
      <x v="5"/>
    </i>
    <i r="1">
      <x v="2"/>
    </i>
  </rowItems>
  <colItems count="1">
    <i/>
  </colItem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5:C8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name="Product " compact="0" multipleItemSelectionAllowed="1" showAll="0">
      <items count="7">
        <item h="1" x="5"/>
        <item x="1"/>
        <item h="1" x="2"/>
        <item x="3"/>
        <item h="1" x="4"/>
        <item h="1"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3">
        <item x="2"/>
        <item x="1"/>
        <item x="0"/>
      </items>
    </pivotField>
  </pivotFields>
  <rowFields count="1">
    <field x="14"/>
  </rowFields>
  <rowItems count="3">
    <i>
      <x v="1"/>
    </i>
    <i>
      <x v="3"/>
    </i>
    <i t="grand">
      <x/>
    </i>
  </rowItems>
  <colItems count="1">
    <i/>
  </colItem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C4:E12" firstHeaderRow="1" firstDataRow="1" firstDataCol="2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measureFilter="1" compact="0" sortType="descending" showAll="0">
      <items count="7">
        <item x="5"/>
        <item x="1"/>
        <item x="2"/>
        <item x="3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defaultSubtotal="0" showAll="0">
      <items count="3">
        <item x="2"/>
        <item x="1"/>
        <item x="0"/>
      </items>
    </pivotField>
  </pivotFields>
  <rowFields count="2">
    <field x="19"/>
    <field x="14"/>
  </rowFields>
  <rowItems count="8">
    <i>
      <x/>
    </i>
    <i r="1">
      <x v="4"/>
    </i>
    <i>
      <x v="1"/>
    </i>
    <i r="1">
      <x v="3"/>
    </i>
    <i r="1">
      <x v="1"/>
    </i>
    <i>
      <x v="2"/>
    </i>
    <i r="1">
      <x v="5"/>
    </i>
    <i r="1">
      <x v="2"/>
    </i>
  </rowItems>
  <colItems count="1">
    <i/>
  </colItems>
  <dataFields count="1">
    <dataField name="Sum of Final Price" fld="16" baseField="0" baseItem="0"/>
  </dataFields>
  <pivotTableStyleInfo name="PivotStyleLight16" showRowHeaders="1" showColHeaders="1" showLastColumn="1"/>
  <filters count="1">
    <filter evalOrder="-1" fld="14" iMeasureFld="0" id="1" type="valueGreaterThan">
      <autoFilter ref="A1">
        <filterColumn colId="0">
          <customFilters>
            <customFilter operator="greaterThan" val="1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B4:E13" firstHeaderRow="0" firstDataRow="1" firstDataCol="2" rowPageCount="1" colPageCount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axis="axisPage" compact="0" multipleItemSelectionAllowed="1" showAll="0">
      <items count="3">
        <item x="0"/>
        <item x="1"/>
        <item t="default"/>
      </items>
    </pivotField>
    <pivotField compact="0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defaultSubtotal="0" showAll="0">
      <items count="3">
        <item x="2"/>
        <item x="1"/>
        <item x="0"/>
      </items>
    </pivotField>
  </pivotFields>
  <rowFields count="2">
    <field x="19"/>
    <field x="14"/>
  </rowFields>
  <rowItems count="9">
    <i>
      <x/>
    </i>
    <i r="1">
      <x/>
    </i>
    <i r="1">
      <x v="4"/>
    </i>
    <i>
      <x v="1"/>
    </i>
    <i r="1">
      <x v="1"/>
    </i>
    <i r="1">
      <x v="3"/>
    </i>
    <i>
      <x v="2"/>
    </i>
    <i r="1">
      <x v="2"/>
    </i>
    <i r="1">
      <x v="5"/>
    </i>
  </rowItems>
  <colFields count="1">
    <field x="-2"/>
  </colFields>
  <colItems count="2">
    <i>
      <x/>
    </i>
    <i i="1">
      <x v="1"/>
    </i>
  </colItems>
  <pageFields count="1">
    <pageField fld="12"/>
  </pageFields>
  <dataFields count="2">
    <dataField name="Overall Sales" fld="16" baseField="0" baseItem="0"/>
    <dataField name="Average Sales" fld="16" subtotal="average" baseField="0" baseItem="0"/>
  </dataFields>
  <formats count="6">
    <format dxfId="1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B4:C9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axis="axisRow" compact="0"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3">
        <item x="2"/>
        <item x="1"/>
        <item x="0"/>
      </items>
    </pivotField>
  </pivotFields>
  <rowFields count="1">
    <field x="3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Final Price" fld="16" baseField="0" baseItem="0" numFmtId="185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3:D9" firstHeaderRow="0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axis="axisRow" compact="0"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3">
        <item x="2"/>
        <item x="1"/>
        <item x="0"/>
      </items>
    </pivotField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 Price" fld="16" baseField="0" baseItem="0" numFmtId="186"/>
    <dataField name="Average of Rating Given" fld="8" subtotal="average" baseField="0" baseItem="0" numFmtId="184"/>
  </dataFields>
  <formats count="3">
    <format dxfId="18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B3:C8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axis="axisRow" compact="0" numFmtId="187" showAll="0">
      <items count="12">
        <item x="0"/>
        <item n="Week 1" x="2"/>
        <item n="Week 2" x="1"/>
        <item n="Week 3" x="3"/>
        <item n="Week 4" x="4"/>
        <item n="Week 5" x="5"/>
        <item x="6"/>
        <item x="7"/>
        <item x="8"/>
        <item x="9"/>
        <item x="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3">
        <item x="2"/>
        <item x="1"/>
        <item x="0"/>
      </items>
    </pivotField>
  </pivotFields>
  <rowFields count="1">
    <field x="3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Final Price" fld="16" baseField="0" baseItem="0" numFmtId="185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3:D7" firstHeaderRow="0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measureFilter="1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14"/>
  </rowFields>
  <rowItems count="4"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 Price" fld="16" baseField="0" baseItem="0"/>
    <dataField name="Average of Rating Given" fld="8" subtotal="average" baseField="0" baseItem="0" numFmtId="1"/>
  </dataFields>
  <formats count="3">
    <format dxfId="21">
      <pivotArea collapsedLevelsAreSubtotals="1" fieldPosition="0">
        <references count="2">
          <reference field="14" count="1" selected="0">
            <x v="2"/>
          </reference>
          <reference field="4294967294" count="1" selected="0">
            <x v="1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filters count="1">
    <filter evalOrder="-1" fld="14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12:D16" firstHeaderRow="0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measureFilter="1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14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 Price" fld="16" baseField="0" baseItem="0"/>
    <dataField name="Average of Rating Given" fld="8" subtotal="average" baseField="0" baseItem="0" numFmtId="2"/>
  </dataFields>
  <formats count="1">
    <format dxfId="24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filters count="1">
    <filter evalOrder="-1" fld="14" iMeasureFld="0" id="2" type="count">
      <autoFilter ref="A1">
        <filterColumn colId="0">
          <top10 top="0"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C7:E10" firstHeaderRow="0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dataField="1"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numFmtId="187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axis="axisRow" name="Customer Satisfication" compact="0" defaultSubtotal="0" showAll="0">
      <items count="3">
        <item n="Poor Satisfication" x="2"/>
        <item n="Neutral" x="1"/>
        <item n="Highly Satisfication" x="0"/>
      </items>
    </pivotField>
    <pivotField compact="0" defaultSubtotal="0" showAll="0">
      <items count="3">
        <item x="2"/>
        <item x="1"/>
        <item x="0"/>
      </items>
    </pivotField>
  </pivotFields>
  <rowFields count="1">
    <field x="1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Overall Sales" fld="16" baseField="0" baseItem="0"/>
    <dataField name="Count of Customer Name" fld="2" subtotal="count" baseField="0" baseItem="0"/>
  </dataFields>
  <formats count="4">
    <format dxfId="2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outline="1" compactData="0" outlineData="1" showDrill="1" multipleFieldFilters="0">
  <location ref="B3:F11" firstHeaderRow="0" firstDataRow="1" firstDataCol="2"/>
  <pivotFields count="20">
    <pivotField compact="0" defaultSubtotal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</items>
    </pivotField>
    <pivotField dataField="1" compact="0" defaultSubtotal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</items>
    </pivotField>
    <pivotField compact="0" defaultSubtotal="0" showAll="0">
      <items count="41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</items>
    </pivotField>
    <pivotField compact="0" defaultSubtotal="0" showAll="0">
      <items count="11">
        <item x="0"/>
        <item x="10"/>
        <item x="1"/>
        <item x="6"/>
        <item x="2"/>
        <item x="7"/>
        <item x="3"/>
        <item x="8"/>
        <item x="4"/>
        <item x="9"/>
        <item x="5"/>
      </items>
    </pivotField>
    <pivotField compact="0" defaultSubtotal="0" showAll="0">
      <items count="3">
        <item x="2"/>
        <item x="0"/>
        <item x="1"/>
      </items>
    </pivotField>
    <pivotField compact="0" defaultSubtotal="0" showAll="0">
      <items count="2">
        <item x="1"/>
        <item x="0"/>
      </items>
    </pivotField>
    <pivotField compact="0" defaultSubtotal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</items>
    </pivotField>
    <pivotField compact="0" defaultSubtotal="0" showAll="0">
      <items count="3">
        <item x="1"/>
        <item x="2"/>
        <item x="0"/>
      </items>
    </pivotField>
    <pivotField dataField="1" compact="0" defaultSubtotal="0" showAll="0">
      <items count="10">
        <item x="6"/>
        <item x="4"/>
        <item x="7"/>
        <item x="5"/>
        <item x="9"/>
        <item x="3"/>
        <item x="1"/>
        <item x="2"/>
        <item x="0"/>
        <item x="8"/>
      </items>
    </pivotField>
    <pivotField compact="0" defaultSubtotal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compact="0" defaultSubtotal="0" showAll="0">
      <items count="6">
        <item x="4"/>
        <item x="1"/>
        <item x="0"/>
        <item x="5"/>
        <item x="3"/>
        <item x="2"/>
      </items>
    </pivotField>
    <pivotField compact="0" defaultSubtotal="0" showAll="0">
      <items count="15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</items>
    </pivotField>
    <pivotField axis="axisRow" name="Product category" compact="0" defaultSubtotal="0" showAll="0">
      <items count="2">
        <item x="0"/>
        <item x="1"/>
      </items>
    </pivotField>
    <pivotField compact="0" defaultSubtotal="0" numFmtId="9" showAll="0">
      <items count="748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</items>
    </pivotField>
    <pivotField compact="0" defaultSubtotal="0" showAll="0">
      <items count="6">
        <item x="5"/>
        <item x="1"/>
        <item x="2"/>
        <item x="3"/>
        <item x="4"/>
        <item x="0"/>
      </items>
    </pivotField>
    <pivotField compact="0" defaultSubtotal="0" showAll="0">
      <items count="43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</items>
    </pivotField>
    <pivotField dataField="1" compact="0" defaultSubtotal="0" showAll="0">
      <items count="467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</items>
    </pivotField>
    <pivotField compact="0" defaultSubtotal="0" showAll="0">
      <items count="96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</items>
    </pivotField>
    <pivotField compact="0" defaultSubtotal="0" showAll="0">
      <items count="3">
        <item x="2"/>
        <item x="1"/>
        <item x="0"/>
      </items>
    </pivotField>
    <pivotField axis="axisRow" compact="0" defaultSubtotal="0" showAll="0">
      <items count="3">
        <item n="Others" x="2"/>
        <item n="Crispy" x="1"/>
        <item n="Spicy" x="0"/>
      </items>
    </pivotField>
  </pivotFields>
  <rowFields count="2">
    <field x="12"/>
    <field x="19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Overall Sales" fld="16" baseField="0" baseItem="0"/>
    <dataField name="Ratings" fld="8" subtotal="average" baseField="0" baseItem="0" numFmtId="1"/>
    <dataField name="No of Order ID" fld="1" subtotal="count" baseField="0" baseItem="0"/>
  </dataFields>
  <formats count="2">
    <format dxfId="29">
      <pivotArea type="all" dataOnly="0" outline="0" fieldPosition="0"/>
    </format>
    <format dxfId="30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Contact Type">
  <location ref="B10:C14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Product">
  <location ref="E16:F26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axis="axisRow" defaultSubtotal="0" showAll="0">
      <items count="3">
        <item x="2"/>
        <item x="1"/>
        <item x="0"/>
      </items>
    </pivotField>
  </pivotFields>
  <rowFields count="2">
    <field x="19"/>
    <field x="14"/>
  </rowFields>
  <rowItems count="10">
    <i>
      <x/>
    </i>
    <i r="1">
      <x/>
    </i>
    <i r="1">
      <x v="4"/>
    </i>
    <i>
      <x v="1"/>
    </i>
    <i r="1">
      <x v="1"/>
    </i>
    <i r="1">
      <x v="3"/>
    </i>
    <i>
      <x v="2"/>
    </i>
    <i r="1">
      <x v="2"/>
    </i>
    <i r="1">
      <x v="5"/>
    </i>
    <i t="grand">
      <x/>
    </i>
  </rowItems>
  <colItems count="1">
    <i/>
  </colItems>
  <dataFields count="1">
    <dataField name="Avg Price" fld="16" subtotal="average" baseField="4" baseItem="0" numFmtId="18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Product">
  <location ref="B16:C26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axis="axisRow" defaultSubtotal="0" showAll="0">
      <items count="3">
        <item x="2"/>
        <item x="1"/>
        <item x="0"/>
      </items>
    </pivotField>
  </pivotFields>
  <rowFields count="2">
    <field x="19"/>
    <field x="14"/>
  </rowFields>
  <rowItems count="10">
    <i>
      <x/>
    </i>
    <i r="1">
      <x/>
    </i>
    <i r="1">
      <x v="4"/>
    </i>
    <i>
      <x v="1"/>
    </i>
    <i r="1">
      <x v="1"/>
    </i>
    <i r="1">
      <x v="3"/>
    </i>
    <i>
      <x v="2"/>
    </i>
    <i r="1">
      <x v="2"/>
    </i>
    <i r="1">
      <x v="5"/>
    </i>
    <i t="grand">
      <x/>
    </i>
  </rowItems>
  <colItems count="1">
    <i/>
  </colItems>
  <dataFields count="1">
    <dataField name="Sale Amount" fld="16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Contact Type">
  <location ref="E10:F14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Price" fld="16" subtotal="average" baseField="4" baseItem="0" numFmtId="18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Contact Type">
  <location ref="E7:E8" firstHeaderRow="1" firstDataRow="1" firstDataCol="0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dataFields count="1">
    <dataField name="Average of Final Price" fld="16" subtotal="average" baseField="0" baseItem="0" numFmtId="182"/>
  </dataFields>
  <formats count="6">
    <format dxfId="31">
      <pivotArea type="all" dataOnly="0" outline="0" fieldPosition="0"/>
    </format>
    <format dxfId="32">
      <pivotArea outline="0" collapsedLevelsAreSubtotals="1" fieldPosition="0"/>
    </format>
    <format dxfId="33">
      <pivotArea dataOnly="0" labelOnly="1" outline="0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Contact Type">
  <location ref="B7:B8" firstHeaderRow="1" firstDataRow="1" firstDataCol="0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dataFields count="1">
    <dataField name="Sum of Final Price" fld="16" baseField="0" baseItem="0" numFmtId="181"/>
  </dataFields>
  <formats count="7"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dataOnly="0" labelOnly="1" outline="0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B5:B6" firstHeaderRow="1" firstDataRow="1" firstDataCol="0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dataFields count="1">
    <dataField name="Sum of Final Price" fld="16" baseField="0" baseItem="0" numFmtId="181"/>
  </dataFields>
  <formats count="7"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dataOnly="0" labelOnly="1" outline="0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E5:E6" firstHeaderRow="1" firstDataRow="1" firstDataCol="0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multipleItemSelectionAllowed="1" numFmtId="187" showAll="0">
      <items count="12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dataFields count="1">
    <dataField name="Average of Final Price" fld="16" subtotal="average" baseField="0" baseItem="0" numFmtId="182"/>
  </dataFields>
  <formats count="6">
    <format dxfId="51">
      <pivotArea type="all" dataOnly="0" outline="0" fieldPosition="0"/>
    </format>
    <format dxfId="52">
      <pivotArea outline="0" collapsedLevelsAreSubtotals="1" fieldPosition="0"/>
    </format>
    <format dxfId="53">
      <pivotArea dataOnly="0" labelOnly="1" outline="0" fieldPosition="0"/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E8:F12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Price" fld="16" subtotal="average" baseField="4" baseItem="0" numFmtId="18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Product">
  <location ref="B14:C24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axis="axisRow" defaultSubtotal="0" showAll="0">
      <items count="3">
        <item x="2"/>
        <item x="1"/>
        <item x="0"/>
      </items>
    </pivotField>
  </pivotFields>
  <rowFields count="2">
    <field x="19"/>
    <field x="14"/>
  </rowFields>
  <rowItems count="10">
    <i>
      <x/>
    </i>
    <i r="1">
      <x/>
    </i>
    <i r="1">
      <x v="4"/>
    </i>
    <i>
      <x v="1"/>
    </i>
    <i r="1">
      <x v="1"/>
    </i>
    <i r="1">
      <x v="3"/>
    </i>
    <i>
      <x v="2"/>
    </i>
    <i r="1">
      <x v="2"/>
    </i>
    <i r="1">
      <x v="5"/>
    </i>
    <i t="grand">
      <x/>
    </i>
  </rowItems>
  <colItems count="1">
    <i/>
  </colItems>
  <dataFields count="1">
    <dataField name="Sale Amount" fld="16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Product">
  <location ref="E14:F24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axis="axisRow" defaultSubtotal="0" showAll="0">
      <items count="3">
        <item x="2"/>
        <item x="1"/>
        <item x="0"/>
      </items>
    </pivotField>
  </pivotFields>
  <rowFields count="2">
    <field x="19"/>
    <field x="14"/>
  </rowFields>
  <rowItems count="10">
    <i>
      <x/>
    </i>
    <i r="1">
      <x/>
    </i>
    <i r="1">
      <x v="4"/>
    </i>
    <i>
      <x v="1"/>
    </i>
    <i r="1">
      <x v="1"/>
    </i>
    <i r="1">
      <x v="3"/>
    </i>
    <i>
      <x v="2"/>
    </i>
    <i r="1">
      <x v="2"/>
    </i>
    <i r="1">
      <x v="5"/>
    </i>
    <i t="grand">
      <x/>
    </i>
  </rowItems>
  <colItems count="1">
    <i/>
  </colItems>
  <dataFields count="1">
    <dataField name="Avg Price" fld="16" subtotal="average" baseField="4" baseItem="0" numFmtId="18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ontact Type">
  <location ref="B8:C12" firstHeaderRow="1" firstDataRow="1" firstDataCol="1"/>
  <pivotFields count="20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numFmtId="18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defaultSubtotal="0" showAll="0">
      <items count="3">
        <item x="2"/>
        <item x="1"/>
        <item x="0"/>
      </items>
    </pivotField>
    <pivotField defaultSubtotal="0" showAll="0">
      <items count="3">
        <item x="2"/>
        <item x="1"/>
        <item x="0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compact="0" indent="0" outline="1" compactData="0" outlineData="1" showDrill="1" multipleFieldFilters="0">
  <location ref="B4:B5" firstHeaderRow="1" firstDataRow="1" firstDataCol="0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dataFields count="1">
    <dataField name="Overall Sales" fld="16" baseField="0" baseItem="0"/>
  </dataFields>
  <formats count="1">
    <format dxfId="5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E15:F2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Overall C-Sat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0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H15:I2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dataField="1"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No of Orders 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1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K15:L2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Discount %" fld="13" subtotal="average" baseField="0" baseItem="0"/>
  </dataFields>
  <formats count="46">
    <format dxfId="58">
      <pivotArea collapsedLevelsAreSubtotals="1" fieldPosition="0"/>
    </format>
    <format dxfId="59">
      <pivotArea collapsedLevelsAreSubtotals="1" fieldPosition="0"/>
    </format>
    <format dxfId="60">
      <pivotArea collapsedLevelsAreSubtotals="1" fieldPosition="0"/>
    </format>
    <format dxfId="61">
      <pivotArea collapsedLevelsAreSubtotals="1" fieldPosition="0"/>
    </format>
    <format dxfId="62">
      <pivotArea collapsedLevelsAreSubtotals="1" fieldPosition="0"/>
    </format>
    <format dxfId="63">
      <pivotArea collapsedLevelsAreSubtotals="1" fieldPosition="0"/>
    </format>
    <format dxfId="64">
      <pivotArea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collapsedLevelsAreSubtotals="1" fieldPosition="0"/>
    </format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  <format dxfId="87">
      <pivotArea collapsedLevelsAreSubtotals="1" fieldPosition="0"/>
    </format>
    <format dxfId="88">
      <pivotArea collapsedLevelsAreSubtotals="1" fieldPosition="0"/>
    </format>
    <format dxfId="89">
      <pivotArea collapsedLevelsAreSubtotals="1" fieldPosition="0"/>
    </format>
    <format dxfId="90">
      <pivotArea collapsedLevelsAreSubtotals="1" fieldPosition="0"/>
    </format>
    <format dxfId="91">
      <pivotArea collapsedLevelsAreSubtotals="1" fieldPosition="0"/>
    </format>
    <format dxfId="92">
      <pivotArea collapsedLevelsAreSubtotals="1" fieldPosition="0"/>
    </format>
    <format dxfId="93">
      <pivotArea collapsedLevelsAreSubtotals="1" fieldPosition="0"/>
    </format>
    <format dxfId="94">
      <pivotArea collapsedLevelsAreSubtotals="1" fieldPosition="0"/>
    </format>
    <format dxfId="95">
      <pivotArea collapsedLevelsAreSubtotals="1" fieldPosition="0"/>
    </format>
    <format dxfId="96">
      <pivotArea collapsedLevelsAreSubtotals="1" fieldPosition="0"/>
    </format>
    <format dxfId="97">
      <pivotArea collapsedLevelsAreSubtotals="1" fieldPosition="0"/>
    </format>
    <format dxfId="98">
      <pivotArea collapsedLevelsAreSubtotals="1" fieldPosition="0"/>
    </format>
    <format dxfId="99">
      <pivotArea collapsedLevelsAreSubtotals="1" fieldPosition="0"/>
    </format>
    <format dxfId="100">
      <pivotArea collapsedLevelsAreSubtotals="1" fieldPosition="0"/>
    </format>
    <format dxfId="101">
      <pivotArea collapsedLevelsAreSubtotals="1" fieldPosition="0"/>
    </format>
    <format dxfId="102">
      <pivotArea collapsedLevelsAreSubtotals="1" fieldPosition="0"/>
    </format>
    <format dxfId="10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compact="0" indent="0" outline="1" compactData="0" outlineData="1" showDrill="1" multipleFieldFilters="0">
  <location ref="E4:E5" firstHeaderRow="1" firstDataRow="1" firstDataCol="0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dataFields count="1">
    <dataField name="Overall C-Sat" fld="8" subtotal="average" baseField="0" baseItem="0"/>
  </dataFields>
  <formats count="1">
    <format dxfId="10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compact="0" indent="0" outline="1" compactData="0" outlineData="1" showDrill="1" multipleFieldFilters="0">
  <location ref="H4:H5" firstHeaderRow="1" firstDataRow="1" firstDataCol="0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dataField="1"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dataFields count="1">
    <dataField name="No of Orders " fld="1" subtotal="count" baseField="0" baseItem="0"/>
  </dataFields>
  <formats count="1">
    <format dxfId="10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compact="0" indent="0" outline="1" compactData="0" outlineData="1" showDrill="1" multipleFieldFilters="0">
  <location ref="K4:K5" firstHeaderRow="1" firstDataRow="1" firstDataCol="0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dataFields count="1">
    <dataField name="Average of Discount %" fld="13" subtotal="average" baseField="0" baseItem="0"/>
  </dataFields>
  <formats count="47">
    <format dxfId="106">
      <pivotArea collapsedLevelsAreSubtotals="1" fieldPosition="0"/>
    </format>
    <format dxfId="107">
      <pivotArea collapsedLevelsAreSubtotals="1" fieldPosition="0"/>
    </format>
    <format dxfId="108">
      <pivotArea collapsedLevelsAreSubtotals="1" fieldPosition="0"/>
    </format>
    <format dxfId="109">
      <pivotArea collapsedLevelsAreSubtotals="1" fieldPosition="0"/>
    </format>
    <format dxfId="110">
      <pivotArea collapsedLevelsAreSubtotals="1" fieldPosition="0"/>
    </format>
    <format dxfId="111">
      <pivotArea collapsedLevelsAreSubtotals="1" fieldPosition="0"/>
    </format>
    <format dxfId="112">
      <pivotArea collapsedLevelsAreSubtotals="1" fieldPosition="0"/>
    </format>
    <format dxfId="113">
      <pivotArea collapsedLevelsAreSubtotals="1" fieldPosition="0"/>
    </format>
    <format dxfId="114">
      <pivotArea collapsedLevelsAreSubtotals="1" fieldPosition="0"/>
    </format>
    <format dxfId="115">
      <pivotArea collapsedLevelsAreSubtotals="1" fieldPosition="0"/>
    </format>
    <format dxfId="116">
      <pivotArea collapsedLevelsAreSubtotals="1" fieldPosition="0"/>
    </format>
    <format dxfId="117">
      <pivotArea collapsedLevelsAreSubtotals="1" fieldPosition="0"/>
    </format>
    <format dxfId="118">
      <pivotArea collapsedLevelsAreSubtotals="1" fieldPosition="0"/>
    </format>
    <format dxfId="119">
      <pivotArea collapsedLevelsAreSubtotals="1" fieldPosition="0"/>
    </format>
    <format dxfId="120">
      <pivotArea collapsedLevelsAreSubtotals="1" fieldPosition="0"/>
    </format>
    <format dxfId="121">
      <pivotArea collapsedLevelsAreSubtotals="1" fieldPosition="0"/>
    </format>
    <format dxfId="122">
      <pivotArea collapsedLevelsAreSubtotals="1" fieldPosition="0"/>
    </format>
    <format dxfId="123">
      <pivotArea collapsedLevelsAreSubtotals="1" fieldPosition="0"/>
    </format>
    <format dxfId="124">
      <pivotArea collapsedLevelsAreSubtotals="1" fieldPosition="0"/>
    </format>
    <format dxfId="125">
      <pivotArea collapsedLevelsAreSubtotals="1" fieldPosition="0"/>
    </format>
    <format dxfId="126">
      <pivotArea collapsedLevelsAreSubtotals="1" fieldPosition="0"/>
    </format>
    <format dxfId="127">
      <pivotArea collapsedLevelsAreSubtotals="1" fieldPosition="0"/>
    </format>
    <format dxfId="128">
      <pivotArea collapsedLevelsAreSubtotals="1" fieldPosition="0"/>
    </format>
    <format dxfId="129">
      <pivotArea collapsedLevelsAreSubtotals="1" fieldPosition="0"/>
    </format>
    <format dxfId="130">
      <pivotArea collapsedLevelsAreSubtotals="1" fieldPosition="0"/>
    </format>
    <format dxfId="131">
      <pivotArea collapsedLevelsAreSubtotals="1" fieldPosition="0"/>
    </format>
    <format dxfId="132">
      <pivotArea collapsedLevelsAreSubtotals="1" fieldPosition="0"/>
    </format>
    <format dxfId="133">
      <pivotArea collapsedLevelsAreSubtotals="1" fieldPosition="0"/>
    </format>
    <format dxfId="134">
      <pivotArea collapsedLevelsAreSubtotals="1" fieldPosition="0"/>
    </format>
    <format dxfId="135">
      <pivotArea collapsedLevelsAreSubtotals="1" fieldPosition="0"/>
    </format>
    <format dxfId="136">
      <pivotArea collapsedLevelsAreSubtotals="1" fieldPosition="0"/>
    </format>
    <format dxfId="137">
      <pivotArea collapsedLevelsAreSubtotals="1" fieldPosition="0"/>
    </format>
    <format dxfId="138">
      <pivotArea collapsedLevelsAreSubtotals="1" fieldPosition="0"/>
    </format>
    <format dxfId="139">
      <pivotArea collapsedLevelsAreSubtotals="1" fieldPosition="0"/>
    </format>
    <format dxfId="140">
      <pivotArea collapsedLevelsAreSubtotals="1" fieldPosition="0"/>
    </format>
    <format dxfId="141">
      <pivotArea collapsedLevelsAreSubtotals="1" fieldPosition="0"/>
    </format>
    <format dxfId="142">
      <pivotArea collapsedLevelsAreSubtotals="1" fieldPosition="0"/>
    </format>
    <format dxfId="143">
      <pivotArea collapsedLevelsAreSubtotals="1" fieldPosition="0"/>
    </format>
    <format dxfId="144">
      <pivotArea collapsedLevelsAreSubtotals="1" fieldPosition="0"/>
    </format>
    <format dxfId="145">
      <pivotArea collapsedLevelsAreSubtotals="1" fieldPosition="0"/>
    </format>
    <format dxfId="146">
      <pivotArea collapsedLevelsAreSubtotals="1" fieldPosition="0"/>
    </format>
    <format dxfId="147">
      <pivotArea collapsedLevelsAreSubtotals="1" fieldPosition="0"/>
    </format>
    <format dxfId="148">
      <pivotArea collapsedLevelsAreSubtotals="1" fieldPosition="0"/>
    </format>
    <format dxfId="149">
      <pivotArea collapsedLevelsAreSubtotals="1" fieldPosition="0"/>
    </format>
    <format dxfId="150">
      <pivotArea collapsedLevelsAreSubtotals="1" fieldPosition="0"/>
    </format>
    <format dxfId="151">
      <pivotArea collapsedLevelsAreSubtotals="1" fieldPosition="0"/>
    </format>
    <format dxfId="15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B8:C1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E8:F1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Overall C-Sat" fld="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H8:I1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dataField="1"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No of Orders 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K8:L1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Average of Discount %" fld="13" subtotal="average" baseField="0" baseItem="0"/>
  </dataFields>
  <formats count="46">
    <format dxfId="153">
      <pivotArea collapsedLevelsAreSubtotals="1" fieldPosition="0"/>
    </format>
    <format dxfId="154">
      <pivotArea collapsedLevelsAreSubtotals="1" fieldPosition="0"/>
    </format>
    <format dxfId="155">
      <pivotArea collapsedLevelsAreSubtotals="1" fieldPosition="0"/>
    </format>
    <format dxfId="156">
      <pivotArea collapsedLevelsAreSubtotals="1" fieldPosition="0"/>
    </format>
    <format dxfId="157">
      <pivotArea collapsedLevelsAreSubtotals="1" fieldPosition="0"/>
    </format>
    <format dxfId="158">
      <pivotArea collapsedLevelsAreSubtotals="1" fieldPosition="0"/>
    </format>
    <format dxfId="159">
      <pivotArea collapsedLevelsAreSubtotals="1" fieldPosition="0"/>
    </format>
    <format dxfId="160">
      <pivotArea collapsedLevelsAreSubtotals="1" fieldPosition="0"/>
    </format>
    <format dxfId="161">
      <pivotArea collapsedLevelsAreSubtotals="1" fieldPosition="0"/>
    </format>
    <format dxfId="162">
      <pivotArea collapsedLevelsAreSubtotals="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collapsedLevelsAreSubtotals="1" fieldPosition="0"/>
    </format>
    <format dxfId="166">
      <pivotArea collapsedLevelsAreSubtotals="1" fieldPosition="0"/>
    </format>
    <format dxfId="167">
      <pivotArea collapsedLevelsAreSubtotals="1" fieldPosition="0"/>
    </format>
    <format dxfId="168">
      <pivotArea collapsedLevelsAreSubtotals="1" fieldPosition="0"/>
    </format>
    <format dxfId="169">
      <pivotArea collapsedLevelsAreSubtotals="1" fieldPosition="0"/>
    </format>
    <format dxfId="170">
      <pivotArea collapsedLevelsAreSubtotals="1" fieldPosition="0"/>
    </format>
    <format dxfId="171">
      <pivotArea collapsedLevelsAreSubtotals="1" fieldPosition="0"/>
    </format>
    <format dxfId="172">
      <pivotArea collapsedLevelsAreSubtotals="1" fieldPosition="0"/>
    </format>
    <format dxfId="173">
      <pivotArea collapsedLevelsAreSubtotals="1" fieldPosition="0"/>
    </format>
    <format dxfId="174">
      <pivotArea collapsedLevelsAreSubtotals="1" fieldPosition="0"/>
    </format>
    <format dxfId="175">
      <pivotArea collapsedLevelsAreSubtotals="1" fieldPosition="0"/>
    </format>
    <format dxfId="176">
      <pivotArea collapsedLevelsAreSubtotals="1" fieldPosition="0"/>
    </format>
    <format dxfId="177">
      <pivotArea collapsedLevelsAreSubtotals="1" fieldPosition="0"/>
    </format>
    <format dxfId="178">
      <pivotArea collapsedLevelsAreSubtotals="1" fieldPosition="0"/>
    </format>
    <format dxfId="179">
      <pivotArea collapsedLevelsAreSubtotals="1" fieldPosition="0"/>
    </format>
    <format dxfId="180">
      <pivotArea collapsedLevelsAreSubtotals="1" fieldPosition="0"/>
    </format>
    <format dxfId="181">
      <pivotArea collapsedLevelsAreSubtotals="1" fieldPosition="0"/>
    </format>
    <format dxfId="182">
      <pivotArea collapsedLevelsAreSubtotals="1" fieldPosition="0"/>
    </format>
    <format dxfId="183">
      <pivotArea collapsedLevelsAreSubtotals="1" fieldPosition="0"/>
    </format>
    <format dxfId="184">
      <pivotArea collapsedLevelsAreSubtotals="1" fieldPosition="0"/>
    </format>
    <format dxfId="185">
      <pivotArea collapsedLevelsAreSubtotals="1" fieldPosition="0"/>
    </format>
    <format dxfId="186">
      <pivotArea collapsedLevelsAreSubtotals="1" fieldPosition="0"/>
    </format>
    <format dxfId="187">
      <pivotArea collapsedLevelsAreSubtotals="1" fieldPosition="0"/>
    </format>
    <format dxfId="188">
      <pivotArea collapsedLevelsAreSubtotals="1" fieldPosition="0"/>
    </format>
    <format dxfId="189">
      <pivotArea collapsedLevelsAreSubtotals="1" fieldPosition="0"/>
    </format>
    <format dxfId="190">
      <pivotArea collapsedLevelsAreSubtotals="1" fieldPosition="0"/>
    </format>
    <format dxfId="191">
      <pivotArea collapsedLevelsAreSubtotals="1" fieldPosition="0"/>
    </format>
    <format dxfId="192">
      <pivotArea collapsedLevelsAreSubtotals="1" fieldPosition="0"/>
    </format>
    <format dxfId="193">
      <pivotArea collapsedLevelsAreSubtotals="1" fieldPosition="0"/>
    </format>
    <format dxfId="194">
      <pivotArea collapsedLevelsAreSubtotals="1" fieldPosition="0"/>
    </format>
    <format dxfId="195">
      <pivotArea collapsedLevelsAreSubtotals="1" fieldPosition="0"/>
    </format>
    <format dxfId="196">
      <pivotArea collapsedLevelsAreSubtotals="1" fieldPosition="0"/>
    </format>
    <format dxfId="197">
      <pivotArea collapsedLevelsAreSubtotals="1" fieldPosition="0"/>
    </format>
    <format dxfId="19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rowGrandTotals="0" colGrandTotals="0" compact="0" indent="0" outline="1" compactData="0" outlineData="1" showDrill="1" multipleFieldFilters="0">
  <location ref="B15:C21" firstHeaderRow="1" firstDataRow="1" firstDataCol="1"/>
  <pivotFields count="2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2">
        <item x="39"/>
        <item x="17"/>
        <item x="7"/>
        <item x="26"/>
        <item x="2"/>
        <item x="32"/>
        <item x="30"/>
        <item x="24"/>
        <item x="36"/>
        <item x="9"/>
        <item x="34"/>
        <item x="29"/>
        <item x="12"/>
        <item x="16"/>
        <item x="23"/>
        <item x="3"/>
        <item x="38"/>
        <item x="33"/>
        <item x="40"/>
        <item x="22"/>
        <item x="10"/>
        <item x="28"/>
        <item x="31"/>
        <item x="18"/>
        <item x="13"/>
        <item x="8"/>
        <item x="5"/>
        <item x="20"/>
        <item x="27"/>
        <item x="25"/>
        <item x="11"/>
        <item x="37"/>
        <item x="0"/>
        <item x="19"/>
        <item x="4"/>
        <item x="14"/>
        <item x="21"/>
        <item x="1"/>
        <item x="35"/>
        <item x="15"/>
        <item x="6"/>
        <item t="default"/>
      </items>
    </pivotField>
    <pivotField compact="0" showAll="0">
      <items count="12">
        <item x="0"/>
        <item x="10"/>
        <item x="1"/>
        <item x="6"/>
        <item x="2"/>
        <item x="7"/>
        <item x="3"/>
        <item x="8"/>
        <item x="4"/>
        <item x="9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>
      <items count="749">
        <item x="523"/>
        <item x="684"/>
        <item x="110"/>
        <item x="51"/>
        <item x="31"/>
        <item x="102"/>
        <item x="613"/>
        <item x="151"/>
        <item x="18"/>
        <item x="630"/>
        <item x="0"/>
        <item x="502"/>
        <item x="212"/>
        <item x="161"/>
        <item x="11"/>
        <item x="372"/>
        <item x="452"/>
        <item x="509"/>
        <item x="225"/>
        <item x="324"/>
        <item x="1"/>
        <item x="163"/>
        <item x="325"/>
        <item x="17"/>
        <item x="671"/>
        <item x="309"/>
        <item x="99"/>
        <item x="231"/>
        <item x="267"/>
        <item x="595"/>
        <item x="689"/>
        <item x="7"/>
        <item x="58"/>
        <item x="265"/>
        <item x="346"/>
        <item x="38"/>
        <item x="16"/>
        <item x="616"/>
        <item x="402"/>
        <item x="486"/>
        <item x="573"/>
        <item x="293"/>
        <item x="101"/>
        <item x="334"/>
        <item x="597"/>
        <item x="533"/>
        <item x="700"/>
        <item x="25"/>
        <item x="54"/>
        <item x="715"/>
        <item x="589"/>
        <item x="472"/>
        <item x="61"/>
        <item x="199"/>
        <item x="297"/>
        <item x="652"/>
        <item x="581"/>
        <item x="292"/>
        <item x="287"/>
        <item x="153"/>
        <item x="316"/>
        <item x="206"/>
        <item x="442"/>
        <item x="20"/>
        <item x="360"/>
        <item x="177"/>
        <item x="10"/>
        <item x="568"/>
        <item x="423"/>
        <item x="401"/>
        <item x="368"/>
        <item x="27"/>
        <item x="693"/>
        <item x="632"/>
        <item x="189"/>
        <item x="605"/>
        <item x="138"/>
        <item x="586"/>
        <item x="679"/>
        <item x="81"/>
        <item x="330"/>
        <item x="387"/>
        <item x="91"/>
        <item x="526"/>
        <item x="534"/>
        <item x="524"/>
        <item x="305"/>
        <item x="621"/>
        <item x="720"/>
        <item x="88"/>
        <item x="109"/>
        <item x="692"/>
        <item x="200"/>
        <item x="143"/>
        <item x="669"/>
        <item x="32"/>
        <item x="701"/>
        <item x="70"/>
        <item x="552"/>
        <item x="89"/>
        <item x="205"/>
        <item x="14"/>
        <item x="24"/>
        <item x="353"/>
        <item x="5"/>
        <item x="255"/>
        <item x="574"/>
        <item x="315"/>
        <item x="266"/>
        <item x="209"/>
        <item x="39"/>
        <item x="28"/>
        <item x="562"/>
        <item x="646"/>
        <item x="92"/>
        <item x="458"/>
        <item x="359"/>
        <item x="236"/>
        <item x="626"/>
        <item x="83"/>
        <item x="19"/>
        <item x="355"/>
        <item x="537"/>
        <item x="531"/>
        <item x="280"/>
        <item x="247"/>
        <item x="174"/>
        <item x="570"/>
        <item x="688"/>
        <item x="166"/>
        <item x="495"/>
        <item x="35"/>
        <item x="575"/>
        <item x="250"/>
        <item x="273"/>
        <item x="142"/>
        <item x="474"/>
        <item x="282"/>
        <item x="557"/>
        <item x="201"/>
        <item x="270"/>
        <item x="208"/>
        <item x="365"/>
        <item x="432"/>
        <item x="37"/>
        <item x="311"/>
        <item x="650"/>
        <item x="215"/>
        <item x="170"/>
        <item x="476"/>
        <item x="252"/>
        <item x="130"/>
        <item x="492"/>
        <item x="301"/>
        <item x="670"/>
        <item x="345"/>
        <item x="43"/>
        <item x="601"/>
        <item x="127"/>
        <item x="443"/>
        <item x="617"/>
        <item x="607"/>
        <item x="308"/>
        <item x="42"/>
        <item x="322"/>
        <item x="431"/>
        <item x="612"/>
        <item x="4"/>
        <item x="257"/>
        <item x="501"/>
        <item x="319"/>
        <item x="738"/>
        <item x="691"/>
        <item x="620"/>
        <item x="455"/>
        <item x="9"/>
        <item x="36"/>
        <item x="454"/>
        <item x="386"/>
        <item x="228"/>
        <item x="238"/>
        <item x="323"/>
        <item x="356"/>
        <item x="631"/>
        <item x="499"/>
        <item x="3"/>
        <item x="572"/>
        <item x="124"/>
        <item x="13"/>
        <item x="23"/>
        <item x="93"/>
        <item x="169"/>
        <item x="223"/>
        <item x="121"/>
        <item x="642"/>
        <item x="591"/>
        <item x="493"/>
        <item x="147"/>
        <item x="741"/>
        <item x="513"/>
        <item x="583"/>
        <item x="471"/>
        <item x="313"/>
        <item x="214"/>
        <item x="111"/>
        <item x="460"/>
        <item x="726"/>
        <item x="603"/>
        <item x="729"/>
        <item x="393"/>
        <item x="555"/>
        <item x="162"/>
        <item x="564"/>
        <item x="666"/>
        <item x="418"/>
        <item x="8"/>
        <item x="358"/>
        <item x="611"/>
        <item x="698"/>
        <item x="622"/>
        <item x="382"/>
        <item x="687"/>
        <item x="194"/>
        <item x="332"/>
        <item x="312"/>
        <item x="95"/>
        <item x="685"/>
        <item x="60"/>
        <item x="682"/>
        <item x="263"/>
        <item x="41"/>
        <item x="466"/>
        <item x="171"/>
        <item x="399"/>
        <item x="707"/>
        <item x="362"/>
        <item x="354"/>
        <item x="76"/>
        <item x="731"/>
        <item x="12"/>
        <item x="544"/>
        <item x="203"/>
        <item x="747"/>
        <item x="116"/>
        <item x="132"/>
        <item x="73"/>
        <item x="320"/>
        <item x="26"/>
        <item x="737"/>
        <item x="590"/>
        <item x="566"/>
        <item x="424"/>
        <item x="578"/>
        <item x="327"/>
        <item x="398"/>
        <item x="33"/>
        <item x="433"/>
        <item x="294"/>
        <item x="400"/>
        <item x="563"/>
        <item x="598"/>
        <item x="48"/>
        <item x="392"/>
        <item x="29"/>
        <item x="734"/>
        <item x="75"/>
        <item x="396"/>
        <item x="22"/>
        <item x="503"/>
        <item x="672"/>
        <item x="518"/>
        <item x="173"/>
        <item x="275"/>
        <item x="123"/>
        <item x="718"/>
        <item x="407"/>
        <item x="457"/>
        <item x="580"/>
        <item x="148"/>
        <item x="713"/>
        <item x="706"/>
        <item x="619"/>
        <item x="191"/>
        <item x="694"/>
        <item x="126"/>
        <item x="370"/>
        <item x="743"/>
        <item x="239"/>
        <item x="377"/>
        <item x="185"/>
        <item x="593"/>
        <item x="306"/>
        <item x="473"/>
        <item x="291"/>
        <item x="633"/>
        <item x="100"/>
        <item x="254"/>
        <item x="508"/>
        <item x="434"/>
        <item x="184"/>
        <item x="71"/>
        <item x="340"/>
        <item x="408"/>
        <item x="505"/>
        <item x="482"/>
        <item x="510"/>
        <item x="207"/>
        <item x="560"/>
        <item x="21"/>
        <item x="516"/>
        <item x="725"/>
        <item x="539"/>
        <item x="269"/>
        <item x="136"/>
        <item x="347"/>
        <item x="484"/>
        <item x="378"/>
        <item x="348"/>
        <item x="485"/>
        <item x="65"/>
        <item x="525"/>
        <item x="658"/>
        <item x="668"/>
        <item x="614"/>
        <item x="190"/>
        <item x="342"/>
        <item x="167"/>
        <item x="337"/>
        <item x="339"/>
        <item x="559"/>
        <item x="594"/>
        <item x="50"/>
        <item x="281"/>
        <item x="379"/>
        <item x="139"/>
        <item x="648"/>
        <item x="40"/>
        <item x="156"/>
        <item x="343"/>
        <item x="72"/>
        <item x="542"/>
        <item x="98"/>
        <item x="260"/>
        <item x="149"/>
        <item x="697"/>
        <item x="636"/>
        <item x="517"/>
        <item x="226"/>
        <item x="435"/>
        <item x="129"/>
        <item x="744"/>
        <item x="389"/>
        <item x="422"/>
        <item x="241"/>
        <item x="30"/>
        <item x="84"/>
        <item x="491"/>
        <item x="490"/>
        <item x="45"/>
        <item x="155"/>
        <item x="49"/>
        <item x="683"/>
        <item x="229"/>
        <item x="739"/>
        <item x="735"/>
        <item x="548"/>
        <item x="468"/>
        <item x="444"/>
        <item x="565"/>
        <item x="600"/>
        <item x="428"/>
        <item x="154"/>
        <item x="47"/>
        <item x="119"/>
        <item x="235"/>
        <item x="413"/>
        <item x="56"/>
        <item x="302"/>
        <item x="240"/>
        <item x="140"/>
        <item x="391"/>
        <item x="390"/>
        <item x="746"/>
        <item x="602"/>
        <item x="369"/>
        <item x="198"/>
        <item x="317"/>
        <item x="299"/>
        <item x="261"/>
        <item x="421"/>
        <item x="504"/>
        <item x="438"/>
        <item x="245"/>
        <item x="628"/>
        <item x="647"/>
        <item x="497"/>
        <item x="511"/>
        <item x="69"/>
        <item x="394"/>
        <item x="288"/>
        <item x="62"/>
        <item x="724"/>
        <item x="178"/>
        <item x="251"/>
        <item x="144"/>
        <item x="496"/>
        <item x="678"/>
        <item x="463"/>
        <item x="304"/>
        <item x="728"/>
        <item x="512"/>
        <item x="277"/>
        <item x="440"/>
        <item x="383"/>
        <item x="449"/>
        <item x="545"/>
        <item x="410"/>
        <item x="417"/>
        <item x="425"/>
        <item x="576"/>
        <item x="94"/>
        <item x="46"/>
        <item x="186"/>
        <item x="655"/>
        <item x="296"/>
        <item x="710"/>
        <item x="558"/>
        <item x="406"/>
        <item x="567"/>
        <item x="569"/>
        <item x="453"/>
        <item x="366"/>
        <item x="588"/>
        <item x="15"/>
        <item x="248"/>
        <item x="711"/>
        <item x="446"/>
        <item x="416"/>
        <item x="303"/>
        <item x="351"/>
        <item x="290"/>
        <item x="477"/>
        <item x="128"/>
        <item x="690"/>
        <item x="714"/>
        <item x="676"/>
        <item x="561"/>
        <item x="188"/>
        <item x="328"/>
        <item x="615"/>
        <item x="530"/>
        <item x="182"/>
        <item x="651"/>
        <item x="702"/>
        <item x="467"/>
        <item x="6"/>
        <item x="117"/>
        <item x="696"/>
        <item x="488"/>
        <item x="244"/>
        <item x="34"/>
        <item x="624"/>
        <item x="584"/>
        <item x="86"/>
        <item x="333"/>
        <item x="336"/>
        <item x="436"/>
        <item x="264"/>
        <item x="213"/>
        <item x="253"/>
        <item x="659"/>
        <item x="637"/>
        <item x="329"/>
        <item x="451"/>
        <item x="256"/>
        <item x="385"/>
        <item x="522"/>
        <item x="217"/>
        <item x="582"/>
        <item x="489"/>
        <item x="234"/>
        <item x="237"/>
        <item x="604"/>
        <item x="554"/>
        <item x="656"/>
        <item x="627"/>
        <item x="723"/>
        <item x="420"/>
        <item x="464"/>
        <item x="300"/>
        <item x="115"/>
        <item x="498"/>
        <item x="344"/>
        <item x="606"/>
        <item x="681"/>
        <item x="113"/>
        <item x="179"/>
        <item x="158"/>
        <item x="643"/>
        <item x="638"/>
        <item x="104"/>
        <item x="286"/>
        <item x="429"/>
        <item x="475"/>
        <item x="338"/>
        <item x="63"/>
        <item x="585"/>
        <item x="415"/>
        <item x="52"/>
        <item x="550"/>
        <item x="587"/>
        <item x="532"/>
        <item x="549"/>
        <item x="66"/>
        <item x="733"/>
        <item x="520"/>
        <item x="480"/>
        <item x="409"/>
        <item x="278"/>
        <item x="165"/>
        <item x="528"/>
        <item x="459"/>
        <item x="448"/>
        <item x="326"/>
        <item x="641"/>
        <item x="271"/>
        <item x="268"/>
        <item x="120"/>
        <item x="721"/>
        <item x="204"/>
        <item x="196"/>
        <item x="719"/>
        <item x="295"/>
        <item x="160"/>
        <item x="90"/>
        <item x="469"/>
        <item x="74"/>
        <item x="437"/>
        <item x="233"/>
        <item x="608"/>
        <item x="536"/>
        <item x="272"/>
        <item x="258"/>
        <item x="708"/>
        <item x="405"/>
        <item x="483"/>
        <item x="289"/>
        <item x="479"/>
        <item x="461"/>
        <item x="187"/>
        <item x="371"/>
        <item x="145"/>
        <item x="625"/>
        <item x="736"/>
        <item x="447"/>
        <item x="623"/>
        <item x="216"/>
        <item x="314"/>
        <item x="168"/>
        <item x="654"/>
        <item x="732"/>
        <item x="164"/>
        <item x="374"/>
        <item x="470"/>
        <item x="146"/>
        <item x="610"/>
        <item x="259"/>
        <item x="373"/>
        <item x="695"/>
        <item x="135"/>
        <item x="412"/>
        <item x="673"/>
        <item x="118"/>
        <item x="220"/>
        <item x="465"/>
        <item x="445"/>
        <item x="96"/>
        <item x="705"/>
        <item x="663"/>
        <item x="68"/>
        <item x="680"/>
        <item x="639"/>
        <item x="404"/>
        <item x="487"/>
        <item x="157"/>
        <item x="44"/>
        <item x="541"/>
        <item x="547"/>
        <item x="661"/>
        <item x="97"/>
        <item x="357"/>
        <item x="677"/>
        <item x="403"/>
        <item x="515"/>
        <item x="717"/>
        <item x="67"/>
        <item x="411"/>
        <item x="364"/>
        <item x="380"/>
        <item x="122"/>
        <item x="232"/>
        <item x="657"/>
        <item x="85"/>
        <item x="662"/>
        <item x="441"/>
        <item x="596"/>
        <item x="745"/>
        <item x="78"/>
        <item x="349"/>
        <item x="506"/>
        <item x="727"/>
        <item x="242"/>
        <item x="55"/>
        <item x="321"/>
        <item x="653"/>
        <item x="529"/>
        <item x="87"/>
        <item x="535"/>
        <item x="634"/>
        <item x="137"/>
        <item x="427"/>
        <item x="310"/>
        <item x="667"/>
        <item x="553"/>
        <item x="159"/>
        <item x="456"/>
        <item x="414"/>
        <item x="246"/>
        <item x="540"/>
        <item x="592"/>
        <item x="686"/>
        <item x="183"/>
        <item x="660"/>
        <item x="664"/>
        <item x="114"/>
        <item x="133"/>
        <item x="243"/>
        <item x="211"/>
        <item x="222"/>
        <item x="481"/>
        <item x="640"/>
        <item x="519"/>
        <item x="703"/>
        <item x="150"/>
        <item x="712"/>
        <item x="674"/>
        <item x="426"/>
        <item x="352"/>
        <item x="514"/>
        <item x="450"/>
        <item x="103"/>
        <item x="645"/>
        <item x="219"/>
        <item x="397"/>
        <item x="227"/>
        <item x="249"/>
        <item x="538"/>
        <item x="699"/>
        <item x="230"/>
        <item x="500"/>
        <item x="363"/>
        <item x="742"/>
        <item x="64"/>
        <item x="478"/>
        <item x="716"/>
        <item x="367"/>
        <item x="395"/>
        <item x="462"/>
        <item x="430"/>
        <item x="439"/>
        <item x="629"/>
        <item x="350"/>
        <item x="704"/>
        <item x="279"/>
        <item x="635"/>
        <item x="57"/>
        <item x="134"/>
        <item x="307"/>
        <item x="341"/>
        <item x="172"/>
        <item x="262"/>
        <item x="285"/>
        <item x="649"/>
        <item x="131"/>
        <item x="197"/>
        <item x="80"/>
        <item x="112"/>
        <item x="609"/>
        <item x="175"/>
        <item x="551"/>
        <item x="318"/>
        <item x="388"/>
        <item x="376"/>
        <item x="79"/>
        <item x="53"/>
        <item x="192"/>
        <item x="546"/>
        <item x="108"/>
        <item x="2"/>
        <item x="82"/>
        <item x="195"/>
        <item x="577"/>
        <item x="521"/>
        <item x="107"/>
        <item x="527"/>
        <item x="105"/>
        <item x="141"/>
        <item x="284"/>
        <item x="218"/>
        <item x="494"/>
        <item x="210"/>
        <item x="571"/>
        <item x="59"/>
        <item x="722"/>
        <item x="276"/>
        <item x="180"/>
        <item x="152"/>
        <item x="618"/>
        <item x="181"/>
        <item x="298"/>
        <item x="507"/>
        <item x="675"/>
        <item x="77"/>
        <item x="331"/>
        <item x="665"/>
        <item x="644"/>
        <item x="283"/>
        <item x="730"/>
        <item x="740"/>
        <item x="193"/>
        <item x="335"/>
        <item x="375"/>
        <item x="556"/>
        <item x="106"/>
        <item x="176"/>
        <item x="599"/>
        <item x="579"/>
        <item x="381"/>
        <item x="709"/>
        <item x="274"/>
        <item x="224"/>
        <item x="361"/>
        <item x="419"/>
        <item x="384"/>
        <item x="202"/>
        <item x="543"/>
        <item x="221"/>
        <item x="125"/>
        <item t="default"/>
      </items>
    </pivotField>
    <pivotField axis="axisRow"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>
      <items count="44">
        <item x="29"/>
        <item x="22"/>
        <item x="33"/>
        <item x="41"/>
        <item x="17"/>
        <item x="9"/>
        <item x="42"/>
        <item x="4"/>
        <item x="40"/>
        <item x="13"/>
        <item x="12"/>
        <item x="39"/>
        <item x="15"/>
        <item x="7"/>
        <item x="30"/>
        <item x="1"/>
        <item x="11"/>
        <item x="36"/>
        <item x="14"/>
        <item x="21"/>
        <item x="5"/>
        <item x="26"/>
        <item x="34"/>
        <item x="0"/>
        <item x="37"/>
        <item x="32"/>
        <item x="8"/>
        <item x="3"/>
        <item x="18"/>
        <item x="38"/>
        <item x="28"/>
        <item x="31"/>
        <item x="2"/>
        <item x="19"/>
        <item x="6"/>
        <item x="23"/>
        <item x="16"/>
        <item x="27"/>
        <item x="25"/>
        <item x="10"/>
        <item x="24"/>
        <item x="20"/>
        <item x="35"/>
        <item t="default"/>
      </items>
    </pivotField>
    <pivotField dataField="1" compact="0" showAll="0">
      <items count="468">
        <item x="147"/>
        <item x="220"/>
        <item x="204"/>
        <item x="188"/>
        <item x="311"/>
        <item x="324"/>
        <item x="223"/>
        <item x="409"/>
        <item x="105"/>
        <item x="412"/>
        <item x="129"/>
        <item x="322"/>
        <item x="217"/>
        <item x="317"/>
        <item x="130"/>
        <item x="107"/>
        <item x="263"/>
        <item x="435"/>
        <item x="428"/>
        <item x="404"/>
        <item x="352"/>
        <item x="189"/>
        <item x="366"/>
        <item x="109"/>
        <item x="190"/>
        <item x="159"/>
        <item x="135"/>
        <item x="200"/>
        <item x="391"/>
        <item x="127"/>
        <item x="422"/>
        <item x="166"/>
        <item x="187"/>
        <item x="327"/>
        <item x="392"/>
        <item x="348"/>
        <item x="201"/>
        <item x="436"/>
        <item x="91"/>
        <item x="106"/>
        <item x="131"/>
        <item x="192"/>
        <item x="154"/>
        <item x="89"/>
        <item x="171"/>
        <item x="2"/>
        <item x="218"/>
        <item x="248"/>
        <item x="152"/>
        <item x="375"/>
        <item x="259"/>
        <item x="43"/>
        <item x="423"/>
        <item x="365"/>
        <item x="108"/>
        <item x="98"/>
        <item x="85"/>
        <item x="346"/>
        <item x="185"/>
        <item x="121"/>
        <item x="364"/>
        <item x="457"/>
        <item x="122"/>
        <item x="116"/>
        <item x="255"/>
        <item x="271"/>
        <item x="212"/>
        <item x="367"/>
        <item x="155"/>
        <item x="228"/>
        <item x="240"/>
        <item x="335"/>
        <item x="313"/>
        <item x="312"/>
        <item x="395"/>
        <item x="95"/>
        <item x="219"/>
        <item x="137"/>
        <item x="339"/>
        <item x="173"/>
        <item x="401"/>
        <item x="221"/>
        <item x="321"/>
        <item x="239"/>
        <item x="345"/>
        <item x="178"/>
        <item x="227"/>
        <item x="437"/>
        <item x="371"/>
        <item x="331"/>
        <item x="384"/>
        <item x="304"/>
        <item x="112"/>
        <item x="97"/>
        <item x="195"/>
        <item x="448"/>
        <item x="336"/>
        <item x="338"/>
        <item x="414"/>
        <item x="398"/>
        <item x="421"/>
        <item x="439"/>
        <item x="291"/>
        <item x="378"/>
        <item x="337"/>
        <item x="396"/>
        <item x="158"/>
        <item x="141"/>
        <item x="360"/>
        <item x="273"/>
        <item x="237"/>
        <item x="447"/>
        <item x="181"/>
        <item x="179"/>
        <item x="424"/>
        <item x="431"/>
        <item x="29"/>
        <item x="330"/>
        <item x="206"/>
        <item x="445"/>
        <item x="302"/>
        <item x="270"/>
        <item x="39"/>
        <item x="236"/>
        <item x="197"/>
        <item x="347"/>
        <item x="101"/>
        <item x="71"/>
        <item x="42"/>
        <item x="354"/>
        <item x="463"/>
        <item x="415"/>
        <item x="425"/>
        <item x="87"/>
        <item x="145"/>
        <item x="351"/>
        <item x="252"/>
        <item x="308"/>
        <item x="316"/>
        <item x="258"/>
        <item x="186"/>
        <item x="266"/>
        <item x="397"/>
        <item x="84"/>
        <item x="329"/>
        <item x="420"/>
        <item x="77"/>
        <item x="215"/>
        <item x="303"/>
        <item x="249"/>
        <item x="288"/>
        <item x="264"/>
        <item x="216"/>
        <item x="247"/>
        <item x="196"/>
        <item x="184"/>
        <item x="295"/>
        <item x="163"/>
        <item x="274"/>
        <item x="442"/>
        <item x="246"/>
        <item x="426"/>
        <item x="283"/>
        <item x="47"/>
        <item x="174"/>
        <item x="381"/>
        <item x="205"/>
        <item x="443"/>
        <item x="234"/>
        <item x="460"/>
        <item x="361"/>
        <item x="341"/>
        <item x="140"/>
        <item x="191"/>
        <item x="262"/>
        <item x="450"/>
        <item x="250"/>
        <item x="28"/>
        <item x="451"/>
        <item x="162"/>
        <item x="14"/>
        <item x="55"/>
        <item x="394"/>
        <item x="202"/>
        <item x="4"/>
        <item x="117"/>
        <item x="93"/>
        <item x="194"/>
        <item x="242"/>
        <item x="300"/>
        <item x="10"/>
        <item x="20"/>
        <item x="169"/>
        <item x="257"/>
        <item x="418"/>
        <item x="226"/>
        <item x="103"/>
        <item x="466"/>
        <item x="369"/>
        <item x="111"/>
        <item x="290"/>
        <item x="377"/>
        <item x="379"/>
        <item x="440"/>
        <item x="143"/>
        <item x="102"/>
        <item x="355"/>
        <item x="146"/>
        <item x="156"/>
        <item x="279"/>
        <item x="438"/>
        <item x="238"/>
        <item x="350"/>
        <item x="452"/>
        <item x="72"/>
        <item x="453"/>
        <item x="314"/>
        <item x="25"/>
        <item x="45"/>
        <item x="429"/>
        <item x="293"/>
        <item x="23"/>
        <item x="136"/>
        <item x="383"/>
        <item x="65"/>
        <item x="48"/>
        <item x="199"/>
        <item x="128"/>
        <item x="99"/>
        <item x="368"/>
        <item x="172"/>
        <item x="82"/>
        <item x="78"/>
        <item x="73"/>
        <item x="464"/>
        <item x="417"/>
        <item x="19"/>
        <item x="138"/>
        <item x="310"/>
        <item x="253"/>
        <item x="8"/>
        <item x="76"/>
        <item x="83"/>
        <item x="232"/>
        <item x="113"/>
        <item x="33"/>
        <item x="6"/>
        <item x="356"/>
        <item x="301"/>
        <item x="139"/>
        <item x="298"/>
        <item x="34"/>
        <item x="444"/>
        <item x="268"/>
        <item x="164"/>
        <item x="299"/>
        <item x="359"/>
        <item x="231"/>
        <item x="92"/>
        <item x="38"/>
        <item x="410"/>
        <item x="244"/>
        <item x="37"/>
        <item x="15"/>
        <item x="385"/>
        <item x="333"/>
        <item x="349"/>
        <item x="75"/>
        <item x="454"/>
        <item x="427"/>
        <item x="119"/>
        <item x="294"/>
        <item x="151"/>
        <item x="183"/>
        <item x="120"/>
        <item x="243"/>
        <item x="276"/>
        <item x="386"/>
        <item x="465"/>
        <item x="180"/>
        <item x="413"/>
        <item x="296"/>
        <item x="49"/>
        <item x="79"/>
        <item x="229"/>
        <item x="46"/>
        <item x="370"/>
        <item x="456"/>
        <item x="393"/>
        <item x="459"/>
        <item x="125"/>
        <item x="150"/>
        <item x="340"/>
        <item x="400"/>
        <item x="399"/>
        <item x="142"/>
        <item x="382"/>
        <item x="287"/>
        <item x="170"/>
        <item x="328"/>
        <item x="307"/>
        <item x="41"/>
        <item x="235"/>
        <item x="325"/>
        <item x="230"/>
        <item x="416"/>
        <item x="286"/>
        <item x="403"/>
        <item x="51"/>
        <item x="59"/>
        <item x="241"/>
        <item x="305"/>
        <item x="160"/>
        <item x="132"/>
        <item x="332"/>
        <item x="362"/>
        <item x="80"/>
        <item x="168"/>
        <item x="256"/>
        <item x="210"/>
        <item x="372"/>
        <item x="1"/>
        <item x="69"/>
        <item x="282"/>
        <item x="462"/>
        <item x="260"/>
        <item x="408"/>
        <item x="22"/>
        <item x="44"/>
        <item x="267"/>
        <item x="94"/>
        <item x="144"/>
        <item x="5"/>
        <item x="115"/>
        <item x="100"/>
        <item x="88"/>
        <item x="18"/>
        <item x="315"/>
        <item x="133"/>
        <item x="24"/>
        <item x="12"/>
        <item x="388"/>
        <item x="157"/>
        <item x="297"/>
        <item x="207"/>
        <item x="74"/>
        <item x="318"/>
        <item x="405"/>
        <item x="148"/>
        <item x="209"/>
        <item x="110"/>
        <item x="406"/>
        <item x="96"/>
        <item x="62"/>
        <item x="176"/>
        <item x="134"/>
        <item x="68"/>
        <item x="208"/>
        <item x="203"/>
        <item x="60"/>
        <item x="432"/>
        <item x="3"/>
        <item x="449"/>
        <item x="31"/>
        <item x="30"/>
        <item x="9"/>
        <item x="446"/>
        <item x="434"/>
        <item x="81"/>
        <item x="245"/>
        <item x="35"/>
        <item x="292"/>
        <item x="320"/>
        <item x="342"/>
        <item x="458"/>
        <item x="21"/>
        <item x="376"/>
        <item x="153"/>
        <item x="104"/>
        <item x="32"/>
        <item x="363"/>
        <item x="193"/>
        <item x="251"/>
        <item x="461"/>
        <item x="61"/>
        <item x="0"/>
        <item x="118"/>
        <item x="86"/>
        <item x="52"/>
        <item x="390"/>
        <item x="319"/>
        <item x="380"/>
        <item x="309"/>
        <item x="213"/>
        <item x="114"/>
        <item x="64"/>
        <item x="323"/>
        <item x="278"/>
        <item x="50"/>
        <item x="289"/>
        <item x="430"/>
        <item x="225"/>
        <item x="198"/>
        <item x="419"/>
        <item x="123"/>
        <item x="402"/>
        <item x="265"/>
        <item x="182"/>
        <item x="261"/>
        <item x="407"/>
        <item x="53"/>
        <item x="16"/>
        <item x="233"/>
        <item x="124"/>
        <item x="334"/>
        <item x="269"/>
        <item x="36"/>
        <item x="353"/>
        <item x="149"/>
        <item x="281"/>
        <item x="306"/>
        <item x="344"/>
        <item x="214"/>
        <item x="222"/>
        <item x="411"/>
        <item x="389"/>
        <item x="70"/>
        <item x="441"/>
        <item x="455"/>
        <item x="13"/>
        <item x="40"/>
        <item x="326"/>
        <item x="54"/>
        <item x="343"/>
        <item x="63"/>
        <item x="161"/>
        <item x="280"/>
        <item x="358"/>
        <item x="175"/>
        <item x="211"/>
        <item x="373"/>
        <item x="165"/>
        <item x="374"/>
        <item x="285"/>
        <item x="177"/>
        <item x="11"/>
        <item x="272"/>
        <item x="56"/>
        <item x="275"/>
        <item x="90"/>
        <item x="7"/>
        <item x="27"/>
        <item x="17"/>
        <item x="224"/>
        <item x="254"/>
        <item x="67"/>
        <item x="66"/>
        <item x="26"/>
        <item x="387"/>
        <item x="433"/>
        <item x="126"/>
        <item x="58"/>
        <item x="57"/>
        <item x="284"/>
        <item x="277"/>
        <item x="167"/>
        <item x="357"/>
        <item t="default"/>
      </items>
    </pivotField>
    <pivotField compact="0" showAll="0">
      <items count="97">
        <item x="40"/>
        <item x="63"/>
        <item x="50"/>
        <item x="26"/>
        <item x="17"/>
        <item x="28"/>
        <item x="46"/>
        <item x="4"/>
        <item x="22"/>
        <item x="31"/>
        <item x="41"/>
        <item x="15"/>
        <item x="34"/>
        <item x="30"/>
        <item x="21"/>
        <item x="42"/>
        <item x="18"/>
        <item x="20"/>
        <item x="29"/>
        <item x="9"/>
        <item x="3"/>
        <item x="70"/>
        <item x="25"/>
        <item x="11"/>
        <item x="82"/>
        <item x="5"/>
        <item x="0"/>
        <item x="1"/>
        <item x="8"/>
        <item x="37"/>
        <item x="67"/>
        <item x="52"/>
        <item x="73"/>
        <item x="76"/>
        <item x="81"/>
        <item x="84"/>
        <item x="86"/>
        <item x="59"/>
        <item x="49"/>
        <item x="65"/>
        <item x="88"/>
        <item x="7"/>
        <item x="44"/>
        <item x="69"/>
        <item x="14"/>
        <item x="13"/>
        <item x="71"/>
        <item x="55"/>
        <item x="10"/>
        <item x="53"/>
        <item x="94"/>
        <item x="39"/>
        <item x="75"/>
        <item x="24"/>
        <item x="48"/>
        <item x="87"/>
        <item x="27"/>
        <item x="78"/>
        <item x="6"/>
        <item x="95"/>
        <item x="90"/>
        <item x="36"/>
        <item x="83"/>
        <item x="57"/>
        <item x="33"/>
        <item x="66"/>
        <item x="32"/>
        <item x="92"/>
        <item x="19"/>
        <item x="58"/>
        <item x="85"/>
        <item x="51"/>
        <item x="56"/>
        <item x="60"/>
        <item x="61"/>
        <item x="64"/>
        <item x="38"/>
        <item x="47"/>
        <item x="62"/>
        <item x="91"/>
        <item x="43"/>
        <item x="54"/>
        <item x="35"/>
        <item x="12"/>
        <item x="74"/>
        <item x="72"/>
        <item x="89"/>
        <item x="77"/>
        <item x="16"/>
        <item x="68"/>
        <item x="93"/>
        <item x="79"/>
        <item x="23"/>
        <item x="80"/>
        <item x="2"/>
        <item x="45"/>
        <item t="default"/>
      </items>
    </pivotField>
    <pivotField compact="0" defaultSubtotal="0" showAll="0">
      <items count="3">
        <item x="2"/>
        <item x="1"/>
        <item x="0"/>
      </items>
    </pivotField>
    <pivotField compact="0" defaultSubtotal="0" showAll="0">
      <items count="3">
        <item x="1"/>
        <item x="0"/>
        <item x="2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Overall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1" sourceName="Order Type">
  <pivotTables>
    <pivotTable tabId="17" name="PivotTable4"/>
    <pivotTable tabId="17" name="PivotTable5"/>
    <pivotTable tabId="17" name="PivotTable6"/>
    <pivotTable tabId="17" name="PivotTable7"/>
    <pivotTable tabId="17" name="PivotTable8"/>
    <pivotTable tabId="17" name="PivotTable9"/>
    <pivotTable tabId="17" name="PivotTable10"/>
    <pivotTable tabId="17" name="PivotTable11"/>
    <pivotTable tabId="17" name="PivotTable12"/>
    <pivotTable tabId="17" name="PivotTable13"/>
    <pivotTable tabId="17" name="PivotTable14"/>
    <pivotTable tabId="17" name="PivotTable15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17" name="PivotTable4"/>
    <pivotTable tabId="17" name="PivotTable5"/>
    <pivotTable tabId="17" name="PivotTable6"/>
    <pivotTable tabId="17" name="PivotTable7"/>
    <pivotTable tabId="17" name="PivotTable8"/>
    <pivotTable tabId="17" name="PivotTable9"/>
    <pivotTable tabId="17" name="PivotTable10"/>
    <pivotTable tabId="17" name="PivotTable11"/>
    <pivotTable tabId="17" name="PivotTable12"/>
    <pivotTable tabId="17" name="PivotTable13"/>
    <pivotTable tabId="17" name="PivotTable14"/>
    <pivotTable tabId="17" name="PivotTable15"/>
  </pivotTables>
  <data>
    <tabular pivotCacheId="1">
      <items count="2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_Given" sourceName="Rating Given">
  <pivotTables>
    <pivotTable tabId="21" name="PivotTable7"/>
    <pivotTable tabId="21" name="PivotTable12"/>
    <pivotTable tabId="21" name="PivotTable11"/>
    <pivotTable tabId="21" name="PivotTable10"/>
    <pivotTable tabId="21" name="PivotTable9"/>
    <pivotTable tabId="21" name="PivotTable8"/>
  </pivotTables>
  <data>
    <tabular pivotCacheId="1">
      <items count="10">
        <i x="6" s="1"/>
        <i x="4" s="1"/>
        <i x="7" s="1"/>
        <i x="5" s="1"/>
        <i x="9" s="1"/>
        <i x="3" s="1"/>
        <i x="1" s="1"/>
        <i x="2" s="1"/>
        <i x="0" s="1"/>
        <i x="8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" sourceName="Order Type">
  <pivotTables>
    <pivotTable tabId="21" name="PivotTable9"/>
    <pivotTable tabId="21" name="PivotTable7"/>
    <pivotTable tabId="21" name="PivotTable12"/>
    <pivotTable tabId="21" name="PivotTable11"/>
    <pivotTable tabId="21" name="PivotTable10"/>
    <pivotTable tabId="21" name="PivotTable8"/>
  </pivotTables>
  <data>
    <tabular pivotCacheId="1">
      <items count="2">
        <i x="0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nt_Handled" sourceName="Agent Handled">
  <pivotTables>
    <pivotTable tabId="21" name="PivotTable9"/>
    <pivotTable tabId="21" name="PivotTable7"/>
    <pivotTable tabId="21" name="PivotTable12"/>
    <pivotTable tabId="21" name="PivotTable11"/>
    <pivotTable tabId="21" name="PivotTable10"/>
    <pivotTable tabId="21" name="PivotTable8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nt Handled" cache="Slicer_Agent_Handled" caption="Agent Handled" columnCount="3" rowHeight="182880"/>
  <slicer name="Order Type" cache="Slicer_Order_Type" caption="Order Type" columnCount="2" rowHeight="225425"/>
  <slicer name="Rating Given" cache="Slicer_Rating_Given" caption="Rating Given" columnCount="10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cation" cache="Slicer_Location" caption="Location" columnCount="2" rowHeight="225425"/>
  <slicer name="Order Type 1" cache="Slicer_Order_Type1" caption="Order Type" columnCount="2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27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18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36.xml"/><Relationship Id="rId8" Type="http://schemas.openxmlformats.org/officeDocument/2006/relationships/pivotTable" Target="../pivotTables/pivotTable35.xml"/><Relationship Id="rId7" Type="http://schemas.openxmlformats.org/officeDocument/2006/relationships/pivotTable" Target="../pivotTables/pivotTable34.xml"/><Relationship Id="rId6" Type="http://schemas.openxmlformats.org/officeDocument/2006/relationships/pivotTable" Target="../pivotTables/pivotTable33.xml"/><Relationship Id="rId5" Type="http://schemas.openxmlformats.org/officeDocument/2006/relationships/pivotTable" Target="../pivotTables/pivotTable32.xml"/><Relationship Id="rId4" Type="http://schemas.openxmlformats.org/officeDocument/2006/relationships/pivotTable" Target="../pivotTables/pivotTable31.xml"/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4" Type="http://schemas.microsoft.com/office/2007/relationships/slicer" Target="../slicers/slicer2.xml"/><Relationship Id="rId13" Type="http://schemas.openxmlformats.org/officeDocument/2006/relationships/drawing" Target="../drawings/drawing2.xml"/><Relationship Id="rId12" Type="http://schemas.openxmlformats.org/officeDocument/2006/relationships/pivotTable" Target="../pivotTables/pivotTable39.xml"/><Relationship Id="rId11" Type="http://schemas.openxmlformats.org/officeDocument/2006/relationships/pivotTable" Target="../pivotTables/pivotTable38.xml"/><Relationship Id="rId10" Type="http://schemas.openxmlformats.org/officeDocument/2006/relationships/pivotTable" Target="../pivotTables/pivotTable37.xml"/><Relationship Id="rId1" Type="http://schemas.openxmlformats.org/officeDocument/2006/relationships/pivotTable" Target="../pivotTables/pivot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5"/>
  <sheetViews>
    <sheetView zoomScale="110" zoomScaleNormal="110" topLeftCell="F780" workbookViewId="0">
      <selection activeCell="N796" sqref="N796"/>
    </sheetView>
  </sheetViews>
  <sheetFormatPr defaultColWidth="9" defaultRowHeight="14.5"/>
  <cols>
    <col min="1" max="1" width="12.2727272727273" customWidth="1"/>
    <col min="2" max="2" width="11.2727272727273" customWidth="1"/>
    <col min="3" max="3" width="21.2727272727273" customWidth="1"/>
    <col min="4" max="5" width="12.9090909090909" customWidth="1"/>
    <col min="6" max="6" width="17.7272727272727" customWidth="1"/>
    <col min="7" max="7" width="9.63636363636364" customWidth="1"/>
    <col min="8" max="8" width="15.4545454545455" customWidth="1"/>
    <col min="9" max="9" width="12.2727272727273" customWidth="1"/>
    <col min="10" max="10" width="18.0909090909091" customWidth="1"/>
    <col min="11" max="11" width="13.0909090909091" customWidth="1"/>
    <col min="12" max="12" width="20.5454545454545" customWidth="1"/>
    <col min="13" max="13" width="12.2727272727273" customWidth="1"/>
    <col min="14" max="14" width="8.90909090909091" customWidth="1"/>
    <col min="15" max="15" width="29.2727272727273" customWidth="1"/>
    <col min="16" max="16" width="11.5454545454545" customWidth="1"/>
    <col min="17" max="17" width="10" customWidth="1"/>
    <col min="18" max="18" width="13.6363636363636" customWidth="1"/>
  </cols>
  <sheetData>
    <row r="1" spans="1:18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</row>
    <row r="2" spans="1:18">
      <c r="A2" s="4" t="s">
        <v>18</v>
      </c>
      <c r="B2" s="4" t="s">
        <v>18</v>
      </c>
      <c r="C2" s="4" t="s">
        <v>19</v>
      </c>
      <c r="D2" s="27">
        <v>45238</v>
      </c>
      <c r="E2" s="4" t="s">
        <v>20</v>
      </c>
      <c r="F2" s="4" t="s">
        <v>21</v>
      </c>
      <c r="G2" s="4" t="s">
        <v>22</v>
      </c>
      <c r="H2" s="4" t="s">
        <v>23</v>
      </c>
      <c r="I2" s="4">
        <v>9</v>
      </c>
      <c r="J2" s="4" t="s">
        <v>24</v>
      </c>
      <c r="K2" s="4">
        <v>72</v>
      </c>
      <c r="L2" s="4">
        <v>8</v>
      </c>
      <c r="M2" s="4" t="s">
        <v>25</v>
      </c>
      <c r="N2" s="28">
        <v>0.0137208012331359</v>
      </c>
      <c r="O2" s="4" t="s">
        <v>26</v>
      </c>
      <c r="P2" s="4">
        <v>576</v>
      </c>
      <c r="Q2" s="4">
        <v>568</v>
      </c>
      <c r="R2" s="4">
        <v>41</v>
      </c>
    </row>
    <row r="3" spans="1:18">
      <c r="A3" s="4" t="s">
        <v>27</v>
      </c>
      <c r="B3" s="4" t="s">
        <v>27</v>
      </c>
      <c r="C3" s="4" t="s">
        <v>28</v>
      </c>
      <c r="D3" s="27">
        <v>45249</v>
      </c>
      <c r="E3" s="4" t="s">
        <v>29</v>
      </c>
      <c r="F3" s="4" t="s">
        <v>21</v>
      </c>
      <c r="G3" s="4" t="s">
        <v>30</v>
      </c>
      <c r="H3" s="4" t="s">
        <v>31</v>
      </c>
      <c r="I3" s="4">
        <v>7</v>
      </c>
      <c r="J3" s="4" t="s">
        <v>32</v>
      </c>
      <c r="K3" s="4">
        <v>65</v>
      </c>
      <c r="L3" s="4">
        <v>7</v>
      </c>
      <c r="M3" s="4" t="s">
        <v>33</v>
      </c>
      <c r="N3" s="28">
        <v>0.0220838543149219</v>
      </c>
      <c r="O3" s="4" t="s">
        <v>34</v>
      </c>
      <c r="P3" s="4">
        <v>455</v>
      </c>
      <c r="Q3" s="4">
        <v>445</v>
      </c>
      <c r="R3" s="4">
        <v>42</v>
      </c>
    </row>
    <row r="4" spans="1:18">
      <c r="A4" s="4" t="s">
        <v>35</v>
      </c>
      <c r="B4" s="4" t="s">
        <v>35</v>
      </c>
      <c r="C4" s="4" t="s">
        <v>36</v>
      </c>
      <c r="D4" s="27">
        <v>45260</v>
      </c>
      <c r="E4" s="4" t="s">
        <v>37</v>
      </c>
      <c r="F4" s="4" t="s">
        <v>38</v>
      </c>
      <c r="G4" s="4" t="s">
        <v>39</v>
      </c>
      <c r="H4" s="4" t="s">
        <v>40</v>
      </c>
      <c r="I4" s="4">
        <v>8</v>
      </c>
      <c r="J4" s="4" t="s">
        <v>41</v>
      </c>
      <c r="K4" s="4">
        <v>250</v>
      </c>
      <c r="L4" s="4">
        <v>3</v>
      </c>
      <c r="M4" s="4" t="s">
        <v>25</v>
      </c>
      <c r="N4" s="28">
        <v>0.928423239563246</v>
      </c>
      <c r="O4" s="4" t="s">
        <v>42</v>
      </c>
      <c r="P4" s="4">
        <v>750</v>
      </c>
      <c r="Q4" s="4">
        <v>54</v>
      </c>
      <c r="R4" s="4">
        <v>160</v>
      </c>
    </row>
    <row r="5" spans="1:18">
      <c r="A5" s="4" t="s">
        <v>43</v>
      </c>
      <c r="B5" s="4" t="s">
        <v>43</v>
      </c>
      <c r="C5" s="4" t="s">
        <v>44</v>
      </c>
      <c r="D5" s="27">
        <v>45241</v>
      </c>
      <c r="E5" s="4" t="s">
        <v>20</v>
      </c>
      <c r="F5" s="4" t="s">
        <v>21</v>
      </c>
      <c r="G5" s="4" t="s">
        <v>45</v>
      </c>
      <c r="H5" s="4" t="s">
        <v>23</v>
      </c>
      <c r="I5" s="4">
        <v>6</v>
      </c>
      <c r="J5" s="4" t="s">
        <v>46</v>
      </c>
      <c r="K5" s="4">
        <v>130</v>
      </c>
      <c r="L5" s="4">
        <v>5</v>
      </c>
      <c r="M5" s="4" t="s">
        <v>33</v>
      </c>
      <c r="N5" s="28">
        <v>0.209903589102211</v>
      </c>
      <c r="O5" s="4" t="s">
        <v>47</v>
      </c>
      <c r="P5" s="4">
        <v>650</v>
      </c>
      <c r="Q5" s="4">
        <v>514</v>
      </c>
      <c r="R5" s="4">
        <v>35</v>
      </c>
    </row>
    <row r="6" spans="1:18">
      <c r="A6" s="4" t="s">
        <v>48</v>
      </c>
      <c r="B6" s="4" t="s">
        <v>48</v>
      </c>
      <c r="C6" s="4" t="s">
        <v>49</v>
      </c>
      <c r="D6" s="27">
        <v>45245</v>
      </c>
      <c r="E6" s="4" t="s">
        <v>29</v>
      </c>
      <c r="F6" s="4" t="s">
        <v>21</v>
      </c>
      <c r="G6" s="4" t="s">
        <v>50</v>
      </c>
      <c r="H6" s="4" t="s">
        <v>31</v>
      </c>
      <c r="I6" s="4">
        <v>2</v>
      </c>
      <c r="J6" s="4" t="s">
        <v>51</v>
      </c>
      <c r="K6" s="4">
        <v>72</v>
      </c>
      <c r="L6" s="4">
        <v>4</v>
      </c>
      <c r="M6" s="4" t="s">
        <v>25</v>
      </c>
      <c r="N6" s="28">
        <v>0.184343159134289</v>
      </c>
      <c r="O6" s="4" t="s">
        <v>26</v>
      </c>
      <c r="P6" s="4">
        <v>288</v>
      </c>
      <c r="Q6" s="4">
        <v>235</v>
      </c>
      <c r="R6" s="4">
        <v>22</v>
      </c>
    </row>
    <row r="7" spans="1:18">
      <c r="A7" s="4" t="s">
        <v>52</v>
      </c>
      <c r="B7" s="4" t="s">
        <v>52</v>
      </c>
      <c r="C7" s="4" t="s">
        <v>53</v>
      </c>
      <c r="D7" s="27">
        <v>45257</v>
      </c>
      <c r="E7" s="4" t="s">
        <v>29</v>
      </c>
      <c r="F7" s="4" t="s">
        <v>21</v>
      </c>
      <c r="G7" s="4" t="s">
        <v>54</v>
      </c>
      <c r="H7" s="4" t="s">
        <v>40</v>
      </c>
      <c r="I7" s="4">
        <v>4</v>
      </c>
      <c r="J7" s="4" t="s">
        <v>55</v>
      </c>
      <c r="K7" s="4">
        <v>65</v>
      </c>
      <c r="L7" s="4">
        <v>8</v>
      </c>
      <c r="M7" s="4" t="s">
        <v>33</v>
      </c>
      <c r="N7" s="28">
        <v>0.111444290733823</v>
      </c>
      <c r="O7" s="4" t="s">
        <v>34</v>
      </c>
      <c r="P7" s="4">
        <v>520</v>
      </c>
      <c r="Q7" s="4">
        <v>462</v>
      </c>
      <c r="R7" s="4">
        <v>40</v>
      </c>
    </row>
    <row r="8" spans="1:18">
      <c r="A8" s="4" t="s">
        <v>56</v>
      </c>
      <c r="B8" s="4" t="s">
        <v>56</v>
      </c>
      <c r="C8" s="4"/>
      <c r="D8" s="27">
        <v>45237</v>
      </c>
      <c r="E8" s="4" t="s">
        <v>20</v>
      </c>
      <c r="F8" s="4" t="s">
        <v>21</v>
      </c>
      <c r="G8" s="4" t="s">
        <v>57</v>
      </c>
      <c r="H8" s="4" t="s">
        <v>23</v>
      </c>
      <c r="I8" s="4">
        <v>1</v>
      </c>
      <c r="J8" s="4" t="s">
        <v>58</v>
      </c>
      <c r="K8" s="4">
        <v>250</v>
      </c>
      <c r="L8" s="4">
        <v>3</v>
      </c>
      <c r="M8" s="4" t="s">
        <v>25</v>
      </c>
      <c r="N8" s="28">
        <v>0.562869291868164</v>
      </c>
      <c r="O8" s="4" t="s">
        <v>42</v>
      </c>
      <c r="P8" s="4">
        <v>750</v>
      </c>
      <c r="Q8" s="4">
        <v>328</v>
      </c>
      <c r="R8" s="4">
        <v>78</v>
      </c>
    </row>
    <row r="9" spans="1:18">
      <c r="A9" s="4" t="s">
        <v>59</v>
      </c>
      <c r="B9" s="4" t="s">
        <v>60</v>
      </c>
      <c r="C9" s="4" t="s">
        <v>61</v>
      </c>
      <c r="D9" s="27">
        <v>45249</v>
      </c>
      <c r="E9" s="4" t="s">
        <v>29</v>
      </c>
      <c r="F9" s="4" t="s">
        <v>21</v>
      </c>
      <c r="G9" s="4" t="s">
        <v>62</v>
      </c>
      <c r="H9" s="4" t="s">
        <v>31</v>
      </c>
      <c r="I9" s="4">
        <v>9</v>
      </c>
      <c r="J9" s="4" t="s">
        <v>63</v>
      </c>
      <c r="K9" s="4">
        <v>130</v>
      </c>
      <c r="L9" s="4">
        <v>6</v>
      </c>
      <c r="M9" s="4" t="s">
        <v>33</v>
      </c>
      <c r="N9" s="28">
        <v>0.0313895605030742</v>
      </c>
      <c r="O9" s="4" t="s">
        <v>47</v>
      </c>
      <c r="P9" s="4">
        <v>780</v>
      </c>
      <c r="Q9" s="4">
        <v>756</v>
      </c>
      <c r="R9" s="4">
        <v>57</v>
      </c>
    </row>
    <row r="10" spans="1:18">
      <c r="A10" s="4" t="s">
        <v>64</v>
      </c>
      <c r="B10" s="4" t="s">
        <v>59</v>
      </c>
      <c r="C10" s="4" t="s">
        <v>65</v>
      </c>
      <c r="D10" s="27">
        <v>45231</v>
      </c>
      <c r="E10" s="4" t="s">
        <v>29</v>
      </c>
      <c r="F10" s="4" t="s">
        <v>38</v>
      </c>
      <c r="G10" s="4" t="s">
        <v>66</v>
      </c>
      <c r="H10" s="4" t="s">
        <v>40</v>
      </c>
      <c r="I10" s="4">
        <v>6</v>
      </c>
      <c r="J10" s="4" t="s">
        <v>67</v>
      </c>
      <c r="K10" s="4">
        <v>60</v>
      </c>
      <c r="L10" s="4">
        <v>7</v>
      </c>
      <c r="M10" s="4" t="s">
        <v>25</v>
      </c>
      <c r="N10" s="28">
        <v>0.237982784951062</v>
      </c>
      <c r="O10" s="4" t="s">
        <v>68</v>
      </c>
      <c r="P10" s="4">
        <v>420</v>
      </c>
      <c r="Q10" s="4">
        <v>320</v>
      </c>
      <c r="R10" s="4">
        <v>22</v>
      </c>
    </row>
    <row r="11" spans="1:18">
      <c r="A11" s="4" t="s">
        <v>69</v>
      </c>
      <c r="B11" s="4" t="s">
        <v>64</v>
      </c>
      <c r="C11" s="4" t="s">
        <v>53</v>
      </c>
      <c r="D11" s="27">
        <v>45247</v>
      </c>
      <c r="E11" s="4" t="s">
        <v>20</v>
      </c>
      <c r="F11" s="4" t="s">
        <v>21</v>
      </c>
      <c r="G11" s="4" t="s">
        <v>70</v>
      </c>
      <c r="H11" s="4" t="s">
        <v>23</v>
      </c>
      <c r="I11" s="4">
        <v>9</v>
      </c>
      <c r="J11" s="4" t="s">
        <v>71</v>
      </c>
      <c r="K11" s="4">
        <v>72</v>
      </c>
      <c r="L11" s="4">
        <v>9</v>
      </c>
      <c r="M11" s="4" t="s">
        <v>33</v>
      </c>
      <c r="N11" s="28">
        <v>0.19712344024474</v>
      </c>
      <c r="O11" s="4" t="s">
        <v>26</v>
      </c>
      <c r="P11" s="4">
        <v>648</v>
      </c>
      <c r="Q11" s="4">
        <v>520</v>
      </c>
      <c r="R11" s="4">
        <v>43</v>
      </c>
    </row>
    <row r="12" spans="1:18">
      <c r="A12" s="4" t="s">
        <v>72</v>
      </c>
      <c r="B12" s="4" t="s">
        <v>69</v>
      </c>
      <c r="C12" s="4" t="s">
        <v>73</v>
      </c>
      <c r="D12" s="27">
        <v>45256</v>
      </c>
      <c r="E12" s="4" t="s">
        <v>29</v>
      </c>
      <c r="F12" s="4" t="s">
        <v>21</v>
      </c>
      <c r="G12" s="4" t="s">
        <v>74</v>
      </c>
      <c r="H12" s="4" t="s">
        <v>31</v>
      </c>
      <c r="I12" s="4">
        <v>9</v>
      </c>
      <c r="J12" s="4" t="s">
        <v>75</v>
      </c>
      <c r="K12" s="4">
        <v>65</v>
      </c>
      <c r="L12" s="4">
        <v>4</v>
      </c>
      <c r="M12" s="4" t="s">
        <v>25</v>
      </c>
      <c r="N12" s="28">
        <v>0.0682957997384349</v>
      </c>
      <c r="O12" s="4" t="s">
        <v>34</v>
      </c>
      <c r="P12" s="4">
        <v>260</v>
      </c>
      <c r="Q12" s="4">
        <v>242</v>
      </c>
      <c r="R12" s="4">
        <v>34</v>
      </c>
    </row>
    <row r="13" spans="1:18">
      <c r="A13" s="4" t="s">
        <v>76</v>
      </c>
      <c r="B13" s="4" t="s">
        <v>72</v>
      </c>
      <c r="C13" s="4" t="s">
        <v>77</v>
      </c>
      <c r="D13" s="27">
        <v>45232</v>
      </c>
      <c r="E13" s="4" t="s">
        <v>37</v>
      </c>
      <c r="F13" s="4" t="s">
        <v>21</v>
      </c>
      <c r="G13" s="4" t="s">
        <v>78</v>
      </c>
      <c r="H13" s="4" t="s">
        <v>40</v>
      </c>
      <c r="I13" s="4">
        <v>3</v>
      </c>
      <c r="J13" s="4" t="s">
        <v>79</v>
      </c>
      <c r="K13" s="4">
        <v>250</v>
      </c>
      <c r="L13" s="4">
        <v>3</v>
      </c>
      <c r="M13" s="4" t="s">
        <v>33</v>
      </c>
      <c r="N13" s="28">
        <v>0.0168285229659042</v>
      </c>
      <c r="O13" s="4" t="s">
        <v>42</v>
      </c>
      <c r="P13" s="4">
        <v>750</v>
      </c>
      <c r="Q13" s="4">
        <v>737</v>
      </c>
      <c r="R13" s="4">
        <v>65</v>
      </c>
    </row>
    <row r="14" spans="1:18">
      <c r="A14" s="4" t="s">
        <v>80</v>
      </c>
      <c r="B14" s="4" t="s">
        <v>76</v>
      </c>
      <c r="C14" s="4"/>
      <c r="D14" s="27">
        <v>45260</v>
      </c>
      <c r="E14" s="4" t="s">
        <v>20</v>
      </c>
      <c r="F14" s="4" t="s">
        <v>21</v>
      </c>
      <c r="G14" s="4" t="s">
        <v>81</v>
      </c>
      <c r="H14" s="4" t="s">
        <v>23</v>
      </c>
      <c r="I14" s="4">
        <v>2</v>
      </c>
      <c r="J14" s="4" t="s">
        <v>82</v>
      </c>
      <c r="K14" s="4">
        <v>130</v>
      </c>
      <c r="L14" s="4">
        <v>5</v>
      </c>
      <c r="M14" s="4" t="s">
        <v>25</v>
      </c>
      <c r="N14" s="28">
        <v>0.266612840655535</v>
      </c>
      <c r="O14" s="4" t="s">
        <v>47</v>
      </c>
      <c r="P14" s="4">
        <v>650</v>
      </c>
      <c r="Q14" s="4">
        <v>477</v>
      </c>
      <c r="R14" s="4">
        <v>38</v>
      </c>
    </row>
    <row r="15" spans="1:18">
      <c r="A15" s="4" t="s">
        <v>83</v>
      </c>
      <c r="B15" s="4" t="s">
        <v>80</v>
      </c>
      <c r="C15" s="4" t="s">
        <v>84</v>
      </c>
      <c r="D15" s="27">
        <v>45258</v>
      </c>
      <c r="E15" s="4" t="s">
        <v>29</v>
      </c>
      <c r="F15" s="4" t="s">
        <v>21</v>
      </c>
      <c r="G15" s="4" t="s">
        <v>85</v>
      </c>
      <c r="H15" s="4" t="s">
        <v>31</v>
      </c>
      <c r="I15" s="4">
        <v>3</v>
      </c>
      <c r="J15" s="4" t="s">
        <v>86</v>
      </c>
      <c r="K15" s="4">
        <v>72</v>
      </c>
      <c r="L15" s="4">
        <v>12</v>
      </c>
      <c r="M15" s="4" t="s">
        <v>33</v>
      </c>
      <c r="N15" s="28">
        <v>0.212513471107016</v>
      </c>
      <c r="O15" s="4" t="s">
        <v>26</v>
      </c>
      <c r="P15" s="4">
        <v>864</v>
      </c>
      <c r="Q15" s="4">
        <v>680</v>
      </c>
      <c r="R15" s="4">
        <v>35</v>
      </c>
    </row>
    <row r="16" spans="1:18">
      <c r="A16" s="4" t="s">
        <v>87</v>
      </c>
      <c r="B16" s="4" t="s">
        <v>83</v>
      </c>
      <c r="C16" s="4" t="s">
        <v>53</v>
      </c>
      <c r="D16" s="27">
        <v>45253</v>
      </c>
      <c r="E16" s="4" t="s">
        <v>37</v>
      </c>
      <c r="F16" s="4" t="s">
        <v>38</v>
      </c>
      <c r="G16" s="4" t="s">
        <v>88</v>
      </c>
      <c r="H16" s="4" t="s">
        <v>40</v>
      </c>
      <c r="I16" s="4">
        <v>10</v>
      </c>
      <c r="J16" s="4" t="s">
        <v>89</v>
      </c>
      <c r="K16" s="4">
        <v>65</v>
      </c>
      <c r="L16" s="4">
        <v>4</v>
      </c>
      <c r="M16" s="4" t="s">
        <v>25</v>
      </c>
      <c r="N16" s="28">
        <v>0.109942576614138</v>
      </c>
      <c r="O16" s="4" t="s">
        <v>34</v>
      </c>
      <c r="P16" s="4">
        <v>260</v>
      </c>
      <c r="Q16" s="4">
        <v>231</v>
      </c>
      <c r="R16" s="4">
        <v>40</v>
      </c>
    </row>
    <row r="17" spans="1:18">
      <c r="A17" s="4" t="s">
        <v>90</v>
      </c>
      <c r="B17" s="4" t="s">
        <v>87</v>
      </c>
      <c r="C17" s="4" t="s">
        <v>91</v>
      </c>
      <c r="D17" s="27">
        <v>45244</v>
      </c>
      <c r="E17" s="4" t="s">
        <v>20</v>
      </c>
      <c r="F17" s="4" t="s">
        <v>21</v>
      </c>
      <c r="G17" s="4" t="s">
        <v>92</v>
      </c>
      <c r="H17" s="4" t="s">
        <v>23</v>
      </c>
      <c r="I17" s="4">
        <v>3</v>
      </c>
      <c r="J17" s="4" t="s">
        <v>93</v>
      </c>
      <c r="K17" s="4">
        <v>250</v>
      </c>
      <c r="L17" s="4">
        <v>3</v>
      </c>
      <c r="M17" s="4" t="s">
        <v>33</v>
      </c>
      <c r="N17" s="28">
        <v>0.536074989086071</v>
      </c>
      <c r="O17" s="4" t="s">
        <v>42</v>
      </c>
      <c r="P17" s="4">
        <v>750</v>
      </c>
      <c r="Q17" s="4">
        <v>348</v>
      </c>
      <c r="R17" s="4">
        <v>133</v>
      </c>
    </row>
    <row r="18" spans="1:18">
      <c r="A18" s="4" t="s">
        <v>94</v>
      </c>
      <c r="B18" s="4" t="s">
        <v>90</v>
      </c>
      <c r="C18" s="4" t="s">
        <v>77</v>
      </c>
      <c r="D18" s="27">
        <v>45238</v>
      </c>
      <c r="E18" s="4" t="s">
        <v>29</v>
      </c>
      <c r="F18" s="4" t="s">
        <v>21</v>
      </c>
      <c r="G18" s="4" t="s">
        <v>95</v>
      </c>
      <c r="H18" s="4" t="s">
        <v>31</v>
      </c>
      <c r="I18" s="4">
        <v>1</v>
      </c>
      <c r="J18" s="4" t="s">
        <v>96</v>
      </c>
      <c r="K18" s="4">
        <v>130</v>
      </c>
      <c r="L18" s="4">
        <v>5</v>
      </c>
      <c r="M18" s="4" t="s">
        <v>25</v>
      </c>
      <c r="N18" s="28">
        <v>0.037515550327758</v>
      </c>
      <c r="O18" s="4" t="s">
        <v>47</v>
      </c>
      <c r="P18" s="4">
        <v>650</v>
      </c>
      <c r="Q18" s="4">
        <v>626</v>
      </c>
      <c r="R18" s="4">
        <v>62</v>
      </c>
    </row>
    <row r="19" spans="1:18">
      <c r="A19" s="4" t="s">
        <v>97</v>
      </c>
      <c r="B19" s="4" t="s">
        <v>94</v>
      </c>
      <c r="C19" s="4" t="s">
        <v>49</v>
      </c>
      <c r="D19" s="27">
        <v>45238</v>
      </c>
      <c r="E19" s="4" t="s">
        <v>37</v>
      </c>
      <c r="F19" s="4" t="s">
        <v>21</v>
      </c>
      <c r="G19" s="4" t="s">
        <v>98</v>
      </c>
      <c r="H19" s="4" t="s">
        <v>40</v>
      </c>
      <c r="I19" s="4">
        <v>5</v>
      </c>
      <c r="J19" s="4" t="s">
        <v>99</v>
      </c>
      <c r="K19" s="4">
        <v>60</v>
      </c>
      <c r="L19" s="4">
        <v>13</v>
      </c>
      <c r="M19" s="4" t="s">
        <v>25</v>
      </c>
      <c r="N19" s="28">
        <v>0.0249382898866631</v>
      </c>
      <c r="O19" s="4" t="s">
        <v>68</v>
      </c>
      <c r="P19" s="4">
        <v>780</v>
      </c>
      <c r="Q19" s="4">
        <v>761</v>
      </c>
      <c r="R19" s="4">
        <v>22</v>
      </c>
    </row>
    <row r="20" spans="1:18">
      <c r="A20" s="4" t="s">
        <v>100</v>
      </c>
      <c r="B20" s="4" t="s">
        <v>97</v>
      </c>
      <c r="C20" s="4" t="s">
        <v>101</v>
      </c>
      <c r="D20" s="27">
        <v>45235</v>
      </c>
      <c r="E20" s="4" t="s">
        <v>20</v>
      </c>
      <c r="F20" s="4" t="s">
        <v>21</v>
      </c>
      <c r="G20" s="4" t="s">
        <v>102</v>
      </c>
      <c r="H20" s="4" t="s">
        <v>23</v>
      </c>
      <c r="I20" s="4">
        <v>1</v>
      </c>
      <c r="J20" s="4" t="s">
        <v>103</v>
      </c>
      <c r="K20" s="4">
        <v>95</v>
      </c>
      <c r="L20" s="4">
        <v>5</v>
      </c>
      <c r="M20" s="4" t="s">
        <v>33</v>
      </c>
      <c r="N20" s="28">
        <v>0.0101233919704142</v>
      </c>
      <c r="O20" s="4" t="s">
        <v>104</v>
      </c>
      <c r="P20" s="4">
        <v>475</v>
      </c>
      <c r="Q20" s="4">
        <v>470</v>
      </c>
      <c r="R20" s="4">
        <v>61</v>
      </c>
    </row>
    <row r="21" spans="1:18">
      <c r="A21" s="4" t="s">
        <v>105</v>
      </c>
      <c r="B21" s="4" t="s">
        <v>100</v>
      </c>
      <c r="C21" s="4" t="s">
        <v>106</v>
      </c>
      <c r="D21" s="27">
        <v>45240</v>
      </c>
      <c r="E21" s="4" t="s">
        <v>29</v>
      </c>
      <c r="F21" s="4" t="s">
        <v>21</v>
      </c>
      <c r="G21" s="4" t="s">
        <v>107</v>
      </c>
      <c r="H21" s="4" t="s">
        <v>31</v>
      </c>
      <c r="I21" s="4">
        <v>5</v>
      </c>
      <c r="J21" s="4" t="s">
        <v>108</v>
      </c>
      <c r="K21" s="4">
        <v>72</v>
      </c>
      <c r="L21" s="4">
        <v>5</v>
      </c>
      <c r="M21" s="4" t="s">
        <v>33</v>
      </c>
      <c r="N21" s="28">
        <v>0.130886936637914</v>
      </c>
      <c r="O21" s="4" t="s">
        <v>26</v>
      </c>
      <c r="P21" s="4">
        <v>360</v>
      </c>
      <c r="Q21" s="4">
        <v>313</v>
      </c>
      <c r="R21" s="4">
        <v>26</v>
      </c>
    </row>
    <row r="22" spans="1:18">
      <c r="A22" s="4" t="s">
        <v>109</v>
      </c>
      <c r="B22" s="4" t="s">
        <v>105</v>
      </c>
      <c r="C22" s="4" t="s">
        <v>110</v>
      </c>
      <c r="D22" s="27">
        <v>45254</v>
      </c>
      <c r="E22" s="4" t="s">
        <v>29</v>
      </c>
      <c r="F22" s="4" t="s">
        <v>38</v>
      </c>
      <c r="G22" s="4" t="s">
        <v>111</v>
      </c>
      <c r="H22" s="4" t="s">
        <v>40</v>
      </c>
      <c r="I22" s="4">
        <v>5</v>
      </c>
      <c r="J22" s="4" t="s">
        <v>112</v>
      </c>
      <c r="K22" s="4">
        <v>65</v>
      </c>
      <c r="L22" s="4">
        <v>4</v>
      </c>
      <c r="M22" s="4" t="s">
        <v>33</v>
      </c>
      <c r="N22" s="28">
        <v>0.0669619694929965</v>
      </c>
      <c r="O22" s="4" t="s">
        <v>34</v>
      </c>
      <c r="P22" s="4">
        <v>260</v>
      </c>
      <c r="Q22" s="4">
        <v>243</v>
      </c>
      <c r="R22" s="4">
        <v>38</v>
      </c>
    </row>
    <row r="23" spans="1:18">
      <c r="A23" s="4" t="s">
        <v>113</v>
      </c>
      <c r="B23" s="4" t="s">
        <v>109</v>
      </c>
      <c r="C23" s="4" t="s">
        <v>114</v>
      </c>
      <c r="D23" s="27">
        <v>45232</v>
      </c>
      <c r="E23" s="4" t="s">
        <v>20</v>
      </c>
      <c r="F23" s="4" t="s">
        <v>21</v>
      </c>
      <c r="G23" s="4" t="s">
        <v>115</v>
      </c>
      <c r="H23" s="4" t="s">
        <v>23</v>
      </c>
      <c r="I23" s="4">
        <v>3</v>
      </c>
      <c r="J23" s="4" t="s">
        <v>116</v>
      </c>
      <c r="K23" s="4">
        <v>250</v>
      </c>
      <c r="L23" s="4">
        <v>3</v>
      </c>
      <c r="M23" s="4" t="s">
        <v>25</v>
      </c>
      <c r="N23" s="28">
        <v>0.363507617946458</v>
      </c>
      <c r="O23" s="4" t="s">
        <v>42</v>
      </c>
      <c r="P23" s="4">
        <v>750</v>
      </c>
      <c r="Q23" s="4">
        <v>477</v>
      </c>
      <c r="R23" s="4">
        <v>145</v>
      </c>
    </row>
    <row r="24" spans="1:18">
      <c r="A24" s="4" t="s">
        <v>117</v>
      </c>
      <c r="B24" s="4" t="s">
        <v>113</v>
      </c>
      <c r="C24" s="4" t="s">
        <v>118</v>
      </c>
      <c r="D24" s="27">
        <v>45251</v>
      </c>
      <c r="E24" s="4" t="s">
        <v>29</v>
      </c>
      <c r="F24" s="4" t="s">
        <v>21</v>
      </c>
      <c r="G24" s="4" t="s">
        <v>119</v>
      </c>
      <c r="H24" s="4" t="s">
        <v>31</v>
      </c>
      <c r="I24" s="4">
        <v>3</v>
      </c>
      <c r="J24" s="4" t="s">
        <v>120</v>
      </c>
      <c r="K24" s="4">
        <v>130</v>
      </c>
      <c r="L24" s="4">
        <v>6</v>
      </c>
      <c r="M24" s="4" t="s">
        <v>25</v>
      </c>
      <c r="N24" s="28">
        <v>0.308414154919931</v>
      </c>
      <c r="O24" s="4" t="s">
        <v>47</v>
      </c>
      <c r="P24" s="4">
        <v>780</v>
      </c>
      <c r="Q24" s="4">
        <v>539</v>
      </c>
      <c r="R24" s="4">
        <v>61</v>
      </c>
    </row>
    <row r="25" spans="1:18">
      <c r="A25" s="4" t="s">
        <v>121</v>
      </c>
      <c r="B25" s="4" t="s">
        <v>117</v>
      </c>
      <c r="C25" s="4" t="s">
        <v>122</v>
      </c>
      <c r="D25" s="27">
        <v>45244</v>
      </c>
      <c r="E25" s="4" t="s">
        <v>37</v>
      </c>
      <c r="F25" s="4" t="s">
        <v>21</v>
      </c>
      <c r="G25" s="4" t="s">
        <v>123</v>
      </c>
      <c r="H25" s="4" t="s">
        <v>40</v>
      </c>
      <c r="I25" s="4">
        <v>7</v>
      </c>
      <c r="J25" s="4" t="s">
        <v>124</v>
      </c>
      <c r="K25" s="4">
        <v>72</v>
      </c>
      <c r="L25" s="4">
        <v>8</v>
      </c>
      <c r="M25" s="4" t="s">
        <v>25</v>
      </c>
      <c r="N25" s="28">
        <v>0.212873013219896</v>
      </c>
      <c r="O25" s="4" t="s">
        <v>26</v>
      </c>
      <c r="P25" s="4">
        <v>576</v>
      </c>
      <c r="Q25" s="4">
        <v>453</v>
      </c>
      <c r="R25" s="4">
        <v>19</v>
      </c>
    </row>
    <row r="26" spans="1:18">
      <c r="A26" s="4" t="s">
        <v>125</v>
      </c>
      <c r="B26" s="4" t="s">
        <v>121</v>
      </c>
      <c r="C26" s="4" t="s">
        <v>126</v>
      </c>
      <c r="D26" s="27">
        <v>45244</v>
      </c>
      <c r="E26" s="4" t="s">
        <v>20</v>
      </c>
      <c r="F26" s="4" t="s">
        <v>21</v>
      </c>
      <c r="G26" s="4" t="s">
        <v>127</v>
      </c>
      <c r="H26" s="4" t="s">
        <v>23</v>
      </c>
      <c r="I26" s="4">
        <v>4</v>
      </c>
      <c r="J26" s="4" t="s">
        <v>128</v>
      </c>
      <c r="K26" s="4">
        <v>65</v>
      </c>
      <c r="L26" s="4">
        <v>5</v>
      </c>
      <c r="M26" s="4" t="s">
        <v>25</v>
      </c>
      <c r="N26" s="28">
        <v>0.110477426017951</v>
      </c>
      <c r="O26" s="4" t="s">
        <v>34</v>
      </c>
      <c r="P26" s="4">
        <v>325</v>
      </c>
      <c r="Q26" s="4">
        <v>289</v>
      </c>
      <c r="R26" s="4">
        <v>31</v>
      </c>
    </row>
    <row r="27" spans="1:18">
      <c r="A27" s="4" t="s">
        <v>129</v>
      </c>
      <c r="B27" s="4" t="s">
        <v>125</v>
      </c>
      <c r="C27" s="4" t="s">
        <v>130</v>
      </c>
      <c r="D27" s="27">
        <v>45257</v>
      </c>
      <c r="E27" s="4" t="s">
        <v>29</v>
      </c>
      <c r="F27" s="4" t="s">
        <v>21</v>
      </c>
      <c r="G27" s="4" t="s">
        <v>131</v>
      </c>
      <c r="H27" s="4" t="s">
        <v>31</v>
      </c>
      <c r="I27" s="4">
        <v>3</v>
      </c>
      <c r="J27" s="4" t="s">
        <v>132</v>
      </c>
      <c r="K27" s="4">
        <v>250</v>
      </c>
      <c r="L27" s="4">
        <v>2</v>
      </c>
      <c r="M27" s="4" t="s">
        <v>25</v>
      </c>
      <c r="N27" s="28">
        <v>0.0487991561516312</v>
      </c>
      <c r="O27" s="4" t="s">
        <v>42</v>
      </c>
      <c r="P27" s="4">
        <v>500</v>
      </c>
      <c r="Q27" s="4">
        <v>476</v>
      </c>
      <c r="R27" s="4">
        <v>95</v>
      </c>
    </row>
    <row r="28" spans="1:18">
      <c r="A28" s="4" t="s">
        <v>133</v>
      </c>
      <c r="B28" s="4" t="s">
        <v>129</v>
      </c>
      <c r="C28" s="4" t="s">
        <v>134</v>
      </c>
      <c r="D28" s="27">
        <v>45235</v>
      </c>
      <c r="E28" s="4" t="s">
        <v>37</v>
      </c>
      <c r="F28" s="4" t="s">
        <v>38</v>
      </c>
      <c r="G28" s="4" t="s">
        <v>135</v>
      </c>
      <c r="H28" s="4" t="s">
        <v>40</v>
      </c>
      <c r="I28" s="4">
        <v>8</v>
      </c>
      <c r="J28" s="4" t="s">
        <v>136</v>
      </c>
      <c r="K28" s="4">
        <v>130</v>
      </c>
      <c r="L28" s="4">
        <v>3</v>
      </c>
      <c r="M28" s="4" t="s">
        <v>25</v>
      </c>
      <c r="N28" s="28">
        <v>0.278795061769214</v>
      </c>
      <c r="O28" s="4" t="s">
        <v>47</v>
      </c>
      <c r="P28" s="4">
        <v>390</v>
      </c>
      <c r="Q28" s="4">
        <v>281</v>
      </c>
      <c r="R28" s="4">
        <v>42</v>
      </c>
    </row>
    <row r="29" spans="1:18">
      <c r="A29" s="4" t="s">
        <v>137</v>
      </c>
      <c r="B29" s="4" t="s">
        <v>138</v>
      </c>
      <c r="C29" s="4" t="s">
        <v>139</v>
      </c>
      <c r="D29" s="27">
        <v>45259</v>
      </c>
      <c r="E29" s="4" t="s">
        <v>20</v>
      </c>
      <c r="F29" s="4" t="s">
        <v>21</v>
      </c>
      <c r="G29" s="4" t="s">
        <v>140</v>
      </c>
      <c r="H29" s="4" t="s">
        <v>23</v>
      </c>
      <c r="I29" s="4">
        <v>2</v>
      </c>
      <c r="J29" s="4" t="s">
        <v>141</v>
      </c>
      <c r="K29" s="4">
        <v>60</v>
      </c>
      <c r="L29" s="4">
        <v>14</v>
      </c>
      <c r="M29" s="4" t="s">
        <v>25</v>
      </c>
      <c r="N29" s="28">
        <v>0.076045534046593</v>
      </c>
      <c r="O29" s="4" t="s">
        <v>68</v>
      </c>
      <c r="P29" s="4">
        <v>840</v>
      </c>
      <c r="Q29" s="4">
        <v>776</v>
      </c>
      <c r="R29" s="4">
        <v>32</v>
      </c>
    </row>
    <row r="30" spans="1:18">
      <c r="A30" s="4" t="s">
        <v>142</v>
      </c>
      <c r="B30" s="4" t="s">
        <v>137</v>
      </c>
      <c r="C30" s="4" t="s">
        <v>143</v>
      </c>
      <c r="D30" s="27">
        <v>45238</v>
      </c>
      <c r="E30" s="4" t="s">
        <v>29</v>
      </c>
      <c r="F30" s="4" t="s">
        <v>21</v>
      </c>
      <c r="G30" s="4" t="s">
        <v>144</v>
      </c>
      <c r="H30" s="4" t="s">
        <v>31</v>
      </c>
      <c r="I30" s="4">
        <v>9</v>
      </c>
      <c r="J30" s="4" t="s">
        <v>24</v>
      </c>
      <c r="K30" s="4">
        <v>72</v>
      </c>
      <c r="L30" s="4">
        <v>12</v>
      </c>
      <c r="M30" s="4" t="s">
        <v>25</v>
      </c>
      <c r="N30" s="28">
        <v>0.120557627547403</v>
      </c>
      <c r="O30" s="4" t="s">
        <v>26</v>
      </c>
      <c r="P30" s="4">
        <v>864</v>
      </c>
      <c r="Q30" s="4">
        <v>760</v>
      </c>
      <c r="R30" s="4">
        <v>29</v>
      </c>
    </row>
    <row r="31" spans="1:18">
      <c r="A31" s="4" t="s">
        <v>145</v>
      </c>
      <c r="B31" s="4" t="s">
        <v>142</v>
      </c>
      <c r="C31" s="4" t="s">
        <v>146</v>
      </c>
      <c r="D31" s="27">
        <v>45258</v>
      </c>
      <c r="E31" s="4" t="s">
        <v>37</v>
      </c>
      <c r="F31" s="4" t="s">
        <v>21</v>
      </c>
      <c r="G31" s="4" t="s">
        <v>147</v>
      </c>
      <c r="H31" s="4" t="s">
        <v>40</v>
      </c>
      <c r="I31" s="4">
        <v>6</v>
      </c>
      <c r="J31" s="4" t="s">
        <v>32</v>
      </c>
      <c r="K31" s="4">
        <v>65</v>
      </c>
      <c r="L31" s="4">
        <v>5</v>
      </c>
      <c r="M31" s="4" t="s">
        <v>25</v>
      </c>
      <c r="N31" s="28">
        <v>0.302839463377806</v>
      </c>
      <c r="O31" s="4" t="s">
        <v>34</v>
      </c>
      <c r="P31" s="4">
        <v>325</v>
      </c>
      <c r="Q31" s="4">
        <v>227</v>
      </c>
      <c r="R31" s="4">
        <v>23</v>
      </c>
    </row>
    <row r="32" spans="1:18">
      <c r="A32" s="4" t="s">
        <v>148</v>
      </c>
      <c r="B32" s="4" t="s">
        <v>145</v>
      </c>
      <c r="C32" s="4" t="s">
        <v>149</v>
      </c>
      <c r="D32" s="27">
        <v>45260</v>
      </c>
      <c r="E32" s="4" t="s">
        <v>20</v>
      </c>
      <c r="F32" s="4" t="s">
        <v>21</v>
      </c>
      <c r="G32" s="4" t="s">
        <v>150</v>
      </c>
      <c r="H32" s="4" t="s">
        <v>23</v>
      </c>
      <c r="I32" s="4">
        <v>7</v>
      </c>
      <c r="J32" s="4" t="s">
        <v>41</v>
      </c>
      <c r="K32" s="4">
        <v>250</v>
      </c>
      <c r="L32" s="4">
        <v>1</v>
      </c>
      <c r="M32" s="4" t="s">
        <v>33</v>
      </c>
      <c r="N32" s="28">
        <v>0.414018298732583</v>
      </c>
      <c r="O32" s="4" t="s">
        <v>42</v>
      </c>
      <c r="P32" s="4">
        <v>250</v>
      </c>
      <c r="Q32" s="4">
        <v>146</v>
      </c>
      <c r="R32" s="4">
        <v>155</v>
      </c>
    </row>
    <row r="33" spans="1:18">
      <c r="A33" s="4" t="s">
        <v>151</v>
      </c>
      <c r="B33" s="4" t="s">
        <v>148</v>
      </c>
      <c r="C33" s="4" t="s">
        <v>152</v>
      </c>
      <c r="D33" s="27">
        <v>45231</v>
      </c>
      <c r="E33" s="4" t="s">
        <v>29</v>
      </c>
      <c r="F33" s="4" t="s">
        <v>21</v>
      </c>
      <c r="G33" s="4" t="s">
        <v>153</v>
      </c>
      <c r="H33" s="4" t="s">
        <v>31</v>
      </c>
      <c r="I33" s="4">
        <v>9</v>
      </c>
      <c r="J33" s="4" t="s">
        <v>46</v>
      </c>
      <c r="K33" s="4">
        <v>130</v>
      </c>
      <c r="L33" s="4">
        <v>4</v>
      </c>
      <c r="M33" s="4" t="s">
        <v>25</v>
      </c>
      <c r="N33" s="28">
        <v>0.00616036602712923</v>
      </c>
      <c r="O33" s="4" t="s">
        <v>47</v>
      </c>
      <c r="P33" s="4">
        <v>520</v>
      </c>
      <c r="Q33" s="4">
        <v>517</v>
      </c>
      <c r="R33" s="4">
        <v>72</v>
      </c>
    </row>
    <row r="34" spans="1:18">
      <c r="A34" s="4" t="s">
        <v>154</v>
      </c>
      <c r="B34" s="4" t="s">
        <v>151</v>
      </c>
      <c r="C34" s="4" t="s">
        <v>84</v>
      </c>
      <c r="D34" s="27">
        <v>45244</v>
      </c>
      <c r="E34" s="4" t="s">
        <v>29</v>
      </c>
      <c r="F34" s="4" t="s">
        <v>38</v>
      </c>
      <c r="G34" s="4" t="s">
        <v>155</v>
      </c>
      <c r="H34" s="4" t="s">
        <v>40</v>
      </c>
      <c r="I34" s="4">
        <v>2</v>
      </c>
      <c r="J34" s="4" t="s">
        <v>51</v>
      </c>
      <c r="K34" s="4">
        <v>72</v>
      </c>
      <c r="L34" s="4">
        <v>8</v>
      </c>
      <c r="M34" s="4" t="s">
        <v>25</v>
      </c>
      <c r="N34" s="28">
        <v>0.104959636722332</v>
      </c>
      <c r="O34" s="4" t="s">
        <v>26</v>
      </c>
      <c r="P34" s="4">
        <v>576</v>
      </c>
      <c r="Q34" s="4">
        <v>516</v>
      </c>
      <c r="R34" s="4">
        <v>37</v>
      </c>
    </row>
    <row r="35" spans="1:18">
      <c r="A35" s="4" t="s">
        <v>156</v>
      </c>
      <c r="B35" s="4" t="s">
        <v>157</v>
      </c>
      <c r="C35" s="4"/>
      <c r="D35" s="27">
        <v>45235</v>
      </c>
      <c r="E35" s="4" t="s">
        <v>20</v>
      </c>
      <c r="F35" s="4" t="s">
        <v>21</v>
      </c>
      <c r="G35" s="4" t="s">
        <v>158</v>
      </c>
      <c r="H35" s="4" t="s">
        <v>23</v>
      </c>
      <c r="I35" s="4">
        <v>9</v>
      </c>
      <c r="J35" s="4" t="s">
        <v>55</v>
      </c>
      <c r="K35" s="4">
        <v>65</v>
      </c>
      <c r="L35" s="4">
        <v>12</v>
      </c>
      <c r="M35" s="4" t="s">
        <v>25</v>
      </c>
      <c r="N35" s="28">
        <v>0.293772739064756</v>
      </c>
      <c r="O35" s="4" t="s">
        <v>34</v>
      </c>
      <c r="P35" s="4">
        <v>780</v>
      </c>
      <c r="Q35" s="4">
        <v>551</v>
      </c>
      <c r="R35" s="4">
        <v>18</v>
      </c>
    </row>
    <row r="36" spans="1:18">
      <c r="A36" s="4" t="s">
        <v>159</v>
      </c>
      <c r="B36" s="4" t="s">
        <v>133</v>
      </c>
      <c r="C36" s="4" t="s">
        <v>139</v>
      </c>
      <c r="D36" s="27">
        <v>45244</v>
      </c>
      <c r="E36" s="4" t="s">
        <v>29</v>
      </c>
      <c r="F36" s="4" t="s">
        <v>21</v>
      </c>
      <c r="G36" s="4" t="s">
        <v>160</v>
      </c>
      <c r="H36" s="4" t="s">
        <v>31</v>
      </c>
      <c r="I36" s="4">
        <v>10</v>
      </c>
      <c r="J36" s="4" t="s">
        <v>58</v>
      </c>
      <c r="K36" s="4">
        <v>250</v>
      </c>
      <c r="L36" s="4">
        <v>3</v>
      </c>
      <c r="M36" s="4" t="s">
        <v>25</v>
      </c>
      <c r="N36" s="28">
        <v>0.565598101019242</v>
      </c>
      <c r="O36" s="4" t="s">
        <v>42</v>
      </c>
      <c r="P36" s="4">
        <v>750</v>
      </c>
      <c r="Q36" s="4">
        <v>326</v>
      </c>
      <c r="R36" s="4">
        <v>75</v>
      </c>
    </row>
    <row r="37" spans="1:18">
      <c r="A37" s="4" t="s">
        <v>161</v>
      </c>
      <c r="B37" s="4" t="s">
        <v>154</v>
      </c>
      <c r="C37" s="4" t="s">
        <v>49</v>
      </c>
      <c r="D37" s="27">
        <v>45241</v>
      </c>
      <c r="E37" s="4" t="s">
        <v>37</v>
      </c>
      <c r="F37" s="4" t="s">
        <v>21</v>
      </c>
      <c r="G37" s="4" t="s">
        <v>162</v>
      </c>
      <c r="H37" s="4" t="s">
        <v>40</v>
      </c>
      <c r="I37" s="4">
        <v>1</v>
      </c>
      <c r="J37" s="4" t="s">
        <v>63</v>
      </c>
      <c r="K37" s="4">
        <v>130</v>
      </c>
      <c r="L37" s="4">
        <v>3</v>
      </c>
      <c r="M37" s="4" t="s">
        <v>25</v>
      </c>
      <c r="N37" s="28">
        <v>0.141803678257353</v>
      </c>
      <c r="O37" s="4" t="s">
        <v>47</v>
      </c>
      <c r="P37" s="4">
        <v>390</v>
      </c>
      <c r="Q37" s="4">
        <v>335</v>
      </c>
      <c r="R37" s="4">
        <v>38</v>
      </c>
    </row>
    <row r="38" spans="1:18">
      <c r="A38" s="4" t="s">
        <v>163</v>
      </c>
      <c r="B38" s="4" t="s">
        <v>156</v>
      </c>
      <c r="C38" s="4" t="s">
        <v>91</v>
      </c>
      <c r="D38" s="27">
        <v>45254</v>
      </c>
      <c r="E38" s="4" t="s">
        <v>20</v>
      </c>
      <c r="F38" s="4" t="s">
        <v>21</v>
      </c>
      <c r="G38" s="4" t="s">
        <v>164</v>
      </c>
      <c r="H38" s="4" t="s">
        <v>23</v>
      </c>
      <c r="I38" s="4">
        <v>1</v>
      </c>
      <c r="J38" s="4" t="s">
        <v>67</v>
      </c>
      <c r="K38" s="4">
        <v>60</v>
      </c>
      <c r="L38" s="4">
        <v>11</v>
      </c>
      <c r="M38" s="4" t="s">
        <v>33</v>
      </c>
      <c r="N38" s="28">
        <v>0.197275854071215</v>
      </c>
      <c r="O38" s="4" t="s">
        <v>68</v>
      </c>
      <c r="P38" s="4">
        <v>660</v>
      </c>
      <c r="Q38" s="4">
        <v>530</v>
      </c>
      <c r="R38" s="4">
        <v>20</v>
      </c>
    </row>
    <row r="39" spans="1:18">
      <c r="A39" s="4" t="s">
        <v>165</v>
      </c>
      <c r="B39" s="4" t="s">
        <v>159</v>
      </c>
      <c r="C39" s="4" t="s">
        <v>146</v>
      </c>
      <c r="D39" s="27">
        <v>45252</v>
      </c>
      <c r="E39" s="4" t="s">
        <v>29</v>
      </c>
      <c r="F39" s="4" t="s">
        <v>21</v>
      </c>
      <c r="G39" s="4" t="s">
        <v>166</v>
      </c>
      <c r="H39" s="4" t="s">
        <v>31</v>
      </c>
      <c r="I39" s="4">
        <v>10</v>
      </c>
      <c r="J39" s="4" t="s">
        <v>71</v>
      </c>
      <c r="K39" s="4">
        <v>95</v>
      </c>
      <c r="L39" s="4">
        <v>8</v>
      </c>
      <c r="M39" s="4" t="s">
        <v>25</v>
      </c>
      <c r="N39" s="28">
        <v>0.160267073739108</v>
      </c>
      <c r="O39" s="4" t="s">
        <v>104</v>
      </c>
      <c r="P39" s="4">
        <v>760</v>
      </c>
      <c r="Q39" s="4">
        <v>638</v>
      </c>
      <c r="R39" s="4">
        <v>33</v>
      </c>
    </row>
    <row r="40" spans="1:18">
      <c r="A40" s="4" t="s">
        <v>167</v>
      </c>
      <c r="B40" s="4" t="s">
        <v>168</v>
      </c>
      <c r="C40" s="4" t="s">
        <v>149</v>
      </c>
      <c r="D40" s="27">
        <v>45253</v>
      </c>
      <c r="E40" s="4" t="s">
        <v>29</v>
      </c>
      <c r="F40" s="4" t="s">
        <v>38</v>
      </c>
      <c r="G40" s="4" t="s">
        <v>169</v>
      </c>
      <c r="H40" s="4" t="s">
        <v>40</v>
      </c>
      <c r="I40" s="4">
        <v>4</v>
      </c>
      <c r="J40" s="4" t="s">
        <v>75</v>
      </c>
      <c r="K40" s="4">
        <v>72</v>
      </c>
      <c r="L40" s="4">
        <v>5</v>
      </c>
      <c r="M40" s="4" t="s">
        <v>25</v>
      </c>
      <c r="N40" s="28">
        <v>0.0367542348170177</v>
      </c>
      <c r="O40" s="4" t="s">
        <v>26</v>
      </c>
      <c r="P40" s="4">
        <v>360</v>
      </c>
      <c r="Q40" s="4">
        <v>347</v>
      </c>
      <c r="R40" s="4">
        <v>19</v>
      </c>
    </row>
    <row r="41" spans="1:18">
      <c r="A41" s="4" t="s">
        <v>170</v>
      </c>
      <c r="B41" s="4" t="s">
        <v>161</v>
      </c>
      <c r="C41" s="4" t="s">
        <v>171</v>
      </c>
      <c r="D41" s="27">
        <v>45245</v>
      </c>
      <c r="E41" s="4" t="s">
        <v>20</v>
      </c>
      <c r="F41" s="4" t="s">
        <v>21</v>
      </c>
      <c r="G41" s="4" t="s">
        <v>172</v>
      </c>
      <c r="H41" s="4" t="s">
        <v>23</v>
      </c>
      <c r="I41" s="4">
        <v>7</v>
      </c>
      <c r="J41" s="4" t="s">
        <v>79</v>
      </c>
      <c r="K41" s="4">
        <v>65</v>
      </c>
      <c r="L41" s="4">
        <v>6</v>
      </c>
      <c r="M41" s="4" t="s">
        <v>25</v>
      </c>
      <c r="N41" s="28">
        <v>0.120474270341696</v>
      </c>
      <c r="O41" s="4" t="s">
        <v>34</v>
      </c>
      <c r="P41" s="4">
        <v>390</v>
      </c>
      <c r="Q41" s="4">
        <v>343</v>
      </c>
      <c r="R41" s="4">
        <v>28</v>
      </c>
    </row>
    <row r="42" spans="1:18">
      <c r="A42" s="4" t="s">
        <v>173</v>
      </c>
      <c r="B42" s="4" t="s">
        <v>163</v>
      </c>
      <c r="C42" s="4" t="s">
        <v>73</v>
      </c>
      <c r="D42" s="27">
        <v>45259</v>
      </c>
      <c r="E42" s="4" t="s">
        <v>29</v>
      </c>
      <c r="F42" s="4" t="s">
        <v>21</v>
      </c>
      <c r="G42" s="4" t="s">
        <v>174</v>
      </c>
      <c r="H42" s="4" t="s">
        <v>31</v>
      </c>
      <c r="I42" s="4">
        <v>3</v>
      </c>
      <c r="J42" s="4" t="s">
        <v>82</v>
      </c>
      <c r="K42" s="4">
        <v>250</v>
      </c>
      <c r="L42" s="4">
        <v>1</v>
      </c>
      <c r="M42" s="4" t="s">
        <v>33</v>
      </c>
      <c r="N42" s="28">
        <v>0.38636401364593</v>
      </c>
      <c r="O42" s="4" t="s">
        <v>42</v>
      </c>
      <c r="P42" s="4">
        <v>250</v>
      </c>
      <c r="Q42" s="4">
        <v>153</v>
      </c>
      <c r="R42" s="4">
        <v>160</v>
      </c>
    </row>
    <row r="43" spans="1:18">
      <c r="A43" s="4" t="s">
        <v>175</v>
      </c>
      <c r="B43" s="4" t="s">
        <v>165</v>
      </c>
      <c r="C43" s="4" t="s">
        <v>176</v>
      </c>
      <c r="D43" s="27">
        <v>45241</v>
      </c>
      <c r="E43" s="4" t="s">
        <v>37</v>
      </c>
      <c r="F43" s="4" t="s">
        <v>21</v>
      </c>
      <c r="G43" s="4" t="s">
        <v>177</v>
      </c>
      <c r="H43" s="4" t="s">
        <v>40</v>
      </c>
      <c r="I43" s="4">
        <v>6</v>
      </c>
      <c r="J43" s="4" t="s">
        <v>86</v>
      </c>
      <c r="K43" s="4">
        <v>130</v>
      </c>
      <c r="L43" s="4">
        <v>7</v>
      </c>
      <c r="M43" s="4" t="s">
        <v>33</v>
      </c>
      <c r="N43" s="28">
        <v>0.251119309854959</v>
      </c>
      <c r="O43" s="4" t="s">
        <v>47</v>
      </c>
      <c r="P43" s="4">
        <v>910</v>
      </c>
      <c r="Q43" s="4">
        <v>681</v>
      </c>
      <c r="R43" s="4">
        <v>72</v>
      </c>
    </row>
    <row r="44" spans="1:18">
      <c r="A44" s="4" t="s">
        <v>178</v>
      </c>
      <c r="B44" s="4" t="s">
        <v>167</v>
      </c>
      <c r="C44" s="4" t="s">
        <v>179</v>
      </c>
      <c r="D44" s="27">
        <v>45248</v>
      </c>
      <c r="E44" s="4" t="s">
        <v>20</v>
      </c>
      <c r="F44" s="4" t="s">
        <v>21</v>
      </c>
      <c r="G44" s="4" t="s">
        <v>180</v>
      </c>
      <c r="H44" s="4" t="s">
        <v>23</v>
      </c>
      <c r="I44" s="4">
        <v>6</v>
      </c>
      <c r="J44" s="4" t="s">
        <v>89</v>
      </c>
      <c r="K44" s="4">
        <v>72</v>
      </c>
      <c r="L44" s="4">
        <v>7</v>
      </c>
      <c r="M44" s="4" t="s">
        <v>33</v>
      </c>
      <c r="N44" s="28">
        <v>0.180991690498891</v>
      </c>
      <c r="O44" s="4" t="s">
        <v>26</v>
      </c>
      <c r="P44" s="4">
        <v>504</v>
      </c>
      <c r="Q44" s="4">
        <v>413</v>
      </c>
      <c r="R44" s="4">
        <v>24</v>
      </c>
    </row>
    <row r="45" spans="1:18">
      <c r="A45" s="4" t="s">
        <v>181</v>
      </c>
      <c r="B45" s="4" t="s">
        <v>170</v>
      </c>
      <c r="C45" s="4" t="s">
        <v>182</v>
      </c>
      <c r="D45" s="27">
        <v>45259</v>
      </c>
      <c r="E45" s="4" t="s">
        <v>29</v>
      </c>
      <c r="F45" s="4" t="s">
        <v>21</v>
      </c>
      <c r="G45" s="4" t="s">
        <v>183</v>
      </c>
      <c r="H45" s="4" t="s">
        <v>31</v>
      </c>
      <c r="I45" s="4">
        <v>5</v>
      </c>
      <c r="J45" s="4" t="s">
        <v>93</v>
      </c>
      <c r="K45" s="4">
        <v>65</v>
      </c>
      <c r="L45" s="4">
        <v>3</v>
      </c>
      <c r="M45" s="4" t="s">
        <v>33</v>
      </c>
      <c r="N45" s="28">
        <v>0.173637863650005</v>
      </c>
      <c r="O45" s="4" t="s">
        <v>34</v>
      </c>
      <c r="P45" s="4">
        <v>195</v>
      </c>
      <c r="Q45" s="4">
        <v>161</v>
      </c>
      <c r="R45" s="4">
        <v>40</v>
      </c>
    </row>
    <row r="46" spans="1:18">
      <c r="A46" s="4" t="s">
        <v>184</v>
      </c>
      <c r="B46" s="4" t="s">
        <v>173</v>
      </c>
      <c r="C46" s="4" t="s">
        <v>185</v>
      </c>
      <c r="D46" s="27">
        <v>45251</v>
      </c>
      <c r="E46" s="4" t="s">
        <v>37</v>
      </c>
      <c r="F46" s="4" t="s">
        <v>38</v>
      </c>
      <c r="G46" s="4" t="s">
        <v>186</v>
      </c>
      <c r="H46" s="4" t="s">
        <v>40</v>
      </c>
      <c r="I46" s="4">
        <v>1</v>
      </c>
      <c r="J46" s="4" t="s">
        <v>96</v>
      </c>
      <c r="K46" s="4">
        <v>250</v>
      </c>
      <c r="L46" s="4">
        <v>1</v>
      </c>
      <c r="M46" s="4" t="s">
        <v>33</v>
      </c>
      <c r="N46" s="28">
        <v>0.754898141374743</v>
      </c>
      <c r="O46" s="4" t="s">
        <v>42</v>
      </c>
      <c r="P46" s="4">
        <v>250</v>
      </c>
      <c r="Q46" s="4">
        <v>61</v>
      </c>
      <c r="R46" s="4">
        <v>90</v>
      </c>
    </row>
    <row r="47" spans="1:18">
      <c r="A47" s="4" t="s">
        <v>187</v>
      </c>
      <c r="B47" s="4" t="s">
        <v>175</v>
      </c>
      <c r="C47" s="4" t="s">
        <v>188</v>
      </c>
      <c r="D47" s="27">
        <v>45260</v>
      </c>
      <c r="E47" s="4" t="s">
        <v>20</v>
      </c>
      <c r="F47" s="4" t="s">
        <v>21</v>
      </c>
      <c r="G47" s="4" t="s">
        <v>189</v>
      </c>
      <c r="H47" s="4" t="s">
        <v>23</v>
      </c>
      <c r="I47" s="4">
        <v>9</v>
      </c>
      <c r="J47" s="4" t="s">
        <v>99</v>
      </c>
      <c r="K47" s="4">
        <v>130</v>
      </c>
      <c r="L47" s="4">
        <v>6</v>
      </c>
      <c r="M47" s="4" t="s">
        <v>33</v>
      </c>
      <c r="N47" s="28">
        <v>0.418262262464108</v>
      </c>
      <c r="O47" s="4" t="s">
        <v>47</v>
      </c>
      <c r="P47" s="4">
        <v>780</v>
      </c>
      <c r="Q47" s="4">
        <v>454</v>
      </c>
      <c r="R47" s="4">
        <v>34</v>
      </c>
    </row>
    <row r="48" spans="1:18">
      <c r="A48" s="4" t="s">
        <v>190</v>
      </c>
      <c r="B48" s="4" t="s">
        <v>178</v>
      </c>
      <c r="C48" s="4" t="s">
        <v>191</v>
      </c>
      <c r="D48" s="27">
        <v>45245</v>
      </c>
      <c r="E48" s="4" t="s">
        <v>29</v>
      </c>
      <c r="F48" s="4" t="s">
        <v>21</v>
      </c>
      <c r="G48" s="4" t="s">
        <v>192</v>
      </c>
      <c r="H48" s="4" t="s">
        <v>31</v>
      </c>
      <c r="I48" s="4">
        <v>3</v>
      </c>
      <c r="J48" s="4" t="s">
        <v>103</v>
      </c>
      <c r="K48" s="4">
        <v>72</v>
      </c>
      <c r="L48" s="4">
        <v>4</v>
      </c>
      <c r="M48" s="4" t="s">
        <v>25</v>
      </c>
      <c r="N48" s="28">
        <v>0.0137208012331359</v>
      </c>
      <c r="O48" s="4" t="s">
        <v>26</v>
      </c>
      <c r="P48" s="4">
        <v>288</v>
      </c>
      <c r="Q48" s="4">
        <v>284</v>
      </c>
      <c r="R48" s="4">
        <v>24</v>
      </c>
    </row>
    <row r="49" spans="1:18">
      <c r="A49" s="4" t="s">
        <v>193</v>
      </c>
      <c r="B49" s="4" t="s">
        <v>181</v>
      </c>
      <c r="C49" s="4" t="s">
        <v>194</v>
      </c>
      <c r="D49" s="27">
        <v>45260</v>
      </c>
      <c r="E49" s="4" t="s">
        <v>29</v>
      </c>
      <c r="F49" s="4" t="s">
        <v>21</v>
      </c>
      <c r="G49" s="4" t="s">
        <v>195</v>
      </c>
      <c r="H49" s="4" t="s">
        <v>40</v>
      </c>
      <c r="I49" s="4">
        <v>4</v>
      </c>
      <c r="J49" s="4" t="s">
        <v>108</v>
      </c>
      <c r="K49" s="4">
        <v>65</v>
      </c>
      <c r="L49" s="4">
        <v>6</v>
      </c>
      <c r="M49" s="4" t="s">
        <v>33</v>
      </c>
      <c r="N49" s="28">
        <v>0.0220838543149219</v>
      </c>
      <c r="O49" s="4" t="s">
        <v>34</v>
      </c>
      <c r="P49" s="4">
        <v>390</v>
      </c>
      <c r="Q49" s="4">
        <v>381</v>
      </c>
      <c r="R49" s="4">
        <v>19</v>
      </c>
    </row>
    <row r="50" spans="1:18">
      <c r="A50" s="4" t="s">
        <v>196</v>
      </c>
      <c r="B50" s="4" t="s">
        <v>184</v>
      </c>
      <c r="C50" s="4" t="s">
        <v>197</v>
      </c>
      <c r="D50" s="27">
        <v>45254</v>
      </c>
      <c r="E50" s="4" t="s">
        <v>20</v>
      </c>
      <c r="F50" s="4" t="s">
        <v>21</v>
      </c>
      <c r="G50" s="4" t="s">
        <v>198</v>
      </c>
      <c r="H50" s="4" t="s">
        <v>23</v>
      </c>
      <c r="I50" s="4">
        <v>8</v>
      </c>
      <c r="J50" s="4" t="s">
        <v>112</v>
      </c>
      <c r="K50" s="4">
        <v>250</v>
      </c>
      <c r="L50" s="4">
        <v>3</v>
      </c>
      <c r="M50" s="4" t="s">
        <v>25</v>
      </c>
      <c r="N50" s="28">
        <v>0.928423239563246</v>
      </c>
      <c r="O50" s="4" t="s">
        <v>42</v>
      </c>
      <c r="P50" s="4">
        <v>750</v>
      </c>
      <c r="Q50" s="4">
        <v>54</v>
      </c>
      <c r="R50" s="4">
        <v>85</v>
      </c>
    </row>
    <row r="51" spans="1:18">
      <c r="A51" s="4" t="s">
        <v>199</v>
      </c>
      <c r="B51" s="4" t="s">
        <v>187</v>
      </c>
      <c r="C51" s="4" t="s">
        <v>200</v>
      </c>
      <c r="D51" s="27">
        <v>45236</v>
      </c>
      <c r="E51" s="4" t="s">
        <v>29</v>
      </c>
      <c r="F51" s="4" t="s">
        <v>21</v>
      </c>
      <c r="G51" s="4" t="s">
        <v>201</v>
      </c>
      <c r="H51" s="4" t="s">
        <v>23</v>
      </c>
      <c r="I51" s="4">
        <v>6</v>
      </c>
      <c r="J51" s="4" t="s">
        <v>116</v>
      </c>
      <c r="K51" s="4">
        <v>130</v>
      </c>
      <c r="L51" s="4">
        <v>2</v>
      </c>
      <c r="M51" s="4" t="s">
        <v>33</v>
      </c>
      <c r="N51" s="28">
        <v>0.209903589102211</v>
      </c>
      <c r="O51" s="4" t="s">
        <v>47</v>
      </c>
      <c r="P51" s="4">
        <v>260</v>
      </c>
      <c r="Q51" s="4">
        <v>205</v>
      </c>
      <c r="R51" s="4">
        <v>65</v>
      </c>
    </row>
    <row r="52" spans="1:18">
      <c r="A52" s="4" t="s">
        <v>202</v>
      </c>
      <c r="B52" s="4" t="s">
        <v>190</v>
      </c>
      <c r="C52" s="4" t="s">
        <v>203</v>
      </c>
      <c r="D52" s="27">
        <v>45234</v>
      </c>
      <c r="E52" s="4" t="s">
        <v>20</v>
      </c>
      <c r="F52" s="4" t="s">
        <v>21</v>
      </c>
      <c r="G52" s="4" t="s">
        <v>204</v>
      </c>
      <c r="H52" s="4" t="s">
        <v>23</v>
      </c>
      <c r="I52" s="4">
        <v>9</v>
      </c>
      <c r="J52" s="4" t="s">
        <v>120</v>
      </c>
      <c r="K52" s="4">
        <v>72</v>
      </c>
      <c r="L52" s="4">
        <v>5</v>
      </c>
      <c r="M52" s="4" t="s">
        <v>25</v>
      </c>
      <c r="N52" s="28">
        <v>0.184343159134289</v>
      </c>
      <c r="O52" s="4" t="s">
        <v>26</v>
      </c>
      <c r="P52" s="4">
        <v>360</v>
      </c>
      <c r="Q52" s="4">
        <v>294</v>
      </c>
      <c r="R52" s="4">
        <v>43</v>
      </c>
    </row>
    <row r="53" spans="1:18">
      <c r="A53" s="4" t="s">
        <v>205</v>
      </c>
      <c r="B53" s="4" t="s">
        <v>193</v>
      </c>
      <c r="C53" s="4" t="s">
        <v>28</v>
      </c>
      <c r="D53" s="27">
        <v>45260</v>
      </c>
      <c r="E53" s="4" t="s">
        <v>29</v>
      </c>
      <c r="F53" s="4" t="s">
        <v>21</v>
      </c>
      <c r="G53" s="4" t="s">
        <v>206</v>
      </c>
      <c r="H53" s="4" t="s">
        <v>31</v>
      </c>
      <c r="I53" s="4">
        <v>7</v>
      </c>
      <c r="J53" s="4" t="s">
        <v>124</v>
      </c>
      <c r="K53" s="4">
        <v>65</v>
      </c>
      <c r="L53" s="4">
        <v>8</v>
      </c>
      <c r="M53" s="4" t="s">
        <v>33</v>
      </c>
      <c r="N53" s="28">
        <v>0.111444290733823</v>
      </c>
      <c r="O53" s="4" t="s">
        <v>34</v>
      </c>
      <c r="P53" s="4">
        <v>520</v>
      </c>
      <c r="Q53" s="4">
        <v>462</v>
      </c>
      <c r="R53" s="4">
        <v>34</v>
      </c>
    </row>
    <row r="54" spans="1:18">
      <c r="A54" s="4" t="s">
        <v>207</v>
      </c>
      <c r="B54" s="4" t="s">
        <v>196</v>
      </c>
      <c r="C54" s="4" t="s">
        <v>36</v>
      </c>
      <c r="D54" s="27">
        <v>45235</v>
      </c>
      <c r="E54" s="4" t="s">
        <v>37</v>
      </c>
      <c r="F54" s="4" t="s">
        <v>38</v>
      </c>
      <c r="G54" s="4" t="s">
        <v>208</v>
      </c>
      <c r="H54" s="4" t="s">
        <v>40</v>
      </c>
      <c r="I54" s="4">
        <v>8</v>
      </c>
      <c r="J54" s="4" t="s">
        <v>128</v>
      </c>
      <c r="K54" s="4">
        <v>250</v>
      </c>
      <c r="L54" s="4">
        <v>3</v>
      </c>
      <c r="M54" s="4" t="s">
        <v>25</v>
      </c>
      <c r="N54" s="28">
        <v>0.562869291868164</v>
      </c>
      <c r="O54" s="4" t="s">
        <v>42</v>
      </c>
      <c r="P54" s="4">
        <v>750</v>
      </c>
      <c r="Q54" s="4">
        <v>328</v>
      </c>
      <c r="R54" s="4">
        <v>78</v>
      </c>
    </row>
    <row r="55" spans="1:18">
      <c r="A55" s="4" t="s">
        <v>209</v>
      </c>
      <c r="B55" s="4" t="s">
        <v>199</v>
      </c>
      <c r="C55" s="4" t="s">
        <v>44</v>
      </c>
      <c r="D55" s="27">
        <v>45241</v>
      </c>
      <c r="E55" s="4" t="s">
        <v>20</v>
      </c>
      <c r="F55" s="4" t="s">
        <v>21</v>
      </c>
      <c r="G55" s="4" t="s">
        <v>210</v>
      </c>
      <c r="H55" s="4" t="s">
        <v>23</v>
      </c>
      <c r="I55" s="4">
        <v>6</v>
      </c>
      <c r="J55" s="4" t="s">
        <v>132</v>
      </c>
      <c r="K55" s="4">
        <v>130</v>
      </c>
      <c r="L55" s="4">
        <v>3</v>
      </c>
      <c r="M55" s="4" t="s">
        <v>33</v>
      </c>
      <c r="N55" s="28">
        <v>0.0313895605030742</v>
      </c>
      <c r="O55" s="4" t="s">
        <v>47</v>
      </c>
      <c r="P55" s="4">
        <v>390</v>
      </c>
      <c r="Q55" s="4">
        <v>378</v>
      </c>
      <c r="R55" s="4">
        <v>78</v>
      </c>
    </row>
    <row r="56" spans="1:18">
      <c r="A56" s="4" t="s">
        <v>211</v>
      </c>
      <c r="B56" s="4" t="s">
        <v>202</v>
      </c>
      <c r="C56" s="4" t="s">
        <v>49</v>
      </c>
      <c r="D56" s="27">
        <v>45233</v>
      </c>
      <c r="E56" s="4" t="s">
        <v>29</v>
      </c>
      <c r="F56" s="4" t="s">
        <v>21</v>
      </c>
      <c r="G56" s="4" t="s">
        <v>212</v>
      </c>
      <c r="H56" s="4" t="s">
        <v>31</v>
      </c>
      <c r="I56" s="4">
        <v>2</v>
      </c>
      <c r="J56" s="4" t="s">
        <v>136</v>
      </c>
      <c r="K56" s="4">
        <v>60</v>
      </c>
      <c r="L56" s="4">
        <v>13</v>
      </c>
      <c r="M56" s="4" t="s">
        <v>25</v>
      </c>
      <c r="N56" s="28">
        <v>0.237982784951062</v>
      </c>
      <c r="O56" s="4" t="s">
        <v>68</v>
      </c>
      <c r="P56" s="4">
        <v>780</v>
      </c>
      <c r="Q56" s="4">
        <v>594</v>
      </c>
      <c r="R56" s="4">
        <v>27</v>
      </c>
    </row>
    <row r="57" spans="1:18">
      <c r="A57" s="4" t="s">
        <v>213</v>
      </c>
      <c r="B57" s="4" t="s">
        <v>205</v>
      </c>
      <c r="C57" s="4" t="s">
        <v>53</v>
      </c>
      <c r="D57" s="27">
        <v>45251</v>
      </c>
      <c r="E57" s="4" t="s">
        <v>29</v>
      </c>
      <c r="F57" s="4" t="s">
        <v>21</v>
      </c>
      <c r="G57" s="4" t="s">
        <v>214</v>
      </c>
      <c r="H57" s="4" t="s">
        <v>40</v>
      </c>
      <c r="I57" s="4">
        <v>4</v>
      </c>
      <c r="J57" s="4" t="s">
        <v>141</v>
      </c>
      <c r="K57" s="4">
        <v>72</v>
      </c>
      <c r="L57" s="4">
        <v>5</v>
      </c>
      <c r="M57" s="4" t="s">
        <v>33</v>
      </c>
      <c r="N57" s="28">
        <v>0.19712344024474</v>
      </c>
      <c r="O57" s="4" t="s">
        <v>26</v>
      </c>
      <c r="P57" s="4">
        <v>360</v>
      </c>
      <c r="Q57" s="4">
        <v>289</v>
      </c>
      <c r="R57" s="4">
        <v>24</v>
      </c>
    </row>
    <row r="58" spans="1:18">
      <c r="A58" s="4" t="s">
        <v>215</v>
      </c>
      <c r="B58" s="4" t="s">
        <v>207</v>
      </c>
      <c r="C58" s="4" t="s">
        <v>61</v>
      </c>
      <c r="D58" s="27">
        <v>45245</v>
      </c>
      <c r="E58" s="4" t="s">
        <v>20</v>
      </c>
      <c r="F58" s="4" t="s">
        <v>21</v>
      </c>
      <c r="G58" s="4" t="s">
        <v>216</v>
      </c>
      <c r="H58" s="4" t="s">
        <v>23</v>
      </c>
      <c r="I58" s="4">
        <v>1</v>
      </c>
      <c r="J58" s="4" t="s">
        <v>24</v>
      </c>
      <c r="K58" s="4">
        <v>65</v>
      </c>
      <c r="L58" s="4">
        <v>7</v>
      </c>
      <c r="M58" s="4" t="s">
        <v>25</v>
      </c>
      <c r="N58" s="28">
        <v>0.0682957997384349</v>
      </c>
      <c r="O58" s="4" t="s">
        <v>34</v>
      </c>
      <c r="P58" s="4">
        <v>455</v>
      </c>
      <c r="Q58" s="4">
        <v>424</v>
      </c>
      <c r="R58" s="4">
        <v>23</v>
      </c>
    </row>
    <row r="59" spans="1:18">
      <c r="A59" s="4" t="s">
        <v>217</v>
      </c>
      <c r="B59" s="4" t="s">
        <v>209</v>
      </c>
      <c r="C59" s="4" t="s">
        <v>61</v>
      </c>
      <c r="D59" s="27">
        <v>45239</v>
      </c>
      <c r="E59" s="4" t="s">
        <v>29</v>
      </c>
      <c r="F59" s="4" t="s">
        <v>21</v>
      </c>
      <c r="G59" s="4" t="s">
        <v>218</v>
      </c>
      <c r="H59" s="4" t="s">
        <v>31</v>
      </c>
      <c r="I59" s="4">
        <v>9</v>
      </c>
      <c r="J59" s="4" t="s">
        <v>32</v>
      </c>
      <c r="K59" s="4">
        <v>250</v>
      </c>
      <c r="L59" s="4">
        <v>3</v>
      </c>
      <c r="M59" s="4" t="s">
        <v>33</v>
      </c>
      <c r="N59" s="28">
        <v>0.0168285229659042</v>
      </c>
      <c r="O59" s="4" t="s">
        <v>42</v>
      </c>
      <c r="P59" s="4">
        <v>750</v>
      </c>
      <c r="Q59" s="4">
        <v>737</v>
      </c>
      <c r="R59" s="4">
        <v>130</v>
      </c>
    </row>
    <row r="60" spans="1:18">
      <c r="A60" s="4" t="s">
        <v>219</v>
      </c>
      <c r="B60" s="4" t="s">
        <v>211</v>
      </c>
      <c r="C60" s="4" t="s">
        <v>65</v>
      </c>
      <c r="D60" s="27">
        <v>45256</v>
      </c>
      <c r="E60" s="4" t="s">
        <v>20</v>
      </c>
      <c r="F60" s="4" t="s">
        <v>38</v>
      </c>
      <c r="G60" s="4" t="s">
        <v>220</v>
      </c>
      <c r="H60" s="4" t="s">
        <v>40</v>
      </c>
      <c r="I60" s="4">
        <v>6</v>
      </c>
      <c r="J60" s="4" t="s">
        <v>86</v>
      </c>
      <c r="K60" s="4">
        <v>130</v>
      </c>
      <c r="L60" s="4">
        <v>6</v>
      </c>
      <c r="M60" s="4" t="s">
        <v>25</v>
      </c>
      <c r="N60" s="28">
        <v>0.266612840655535</v>
      </c>
      <c r="O60" s="4" t="s">
        <v>47</v>
      </c>
      <c r="P60" s="4">
        <v>780</v>
      </c>
      <c r="Q60" s="4">
        <v>572</v>
      </c>
      <c r="R60" s="4">
        <v>81</v>
      </c>
    </row>
    <row r="61" spans="1:18">
      <c r="A61" s="4" t="s">
        <v>221</v>
      </c>
      <c r="B61" s="4" t="s">
        <v>213</v>
      </c>
      <c r="C61" s="4" t="s">
        <v>222</v>
      </c>
      <c r="D61" s="27">
        <v>45239</v>
      </c>
      <c r="E61" s="4" t="s">
        <v>29</v>
      </c>
      <c r="F61" s="4" t="s">
        <v>21</v>
      </c>
      <c r="G61" s="4" t="s">
        <v>223</v>
      </c>
      <c r="H61" s="4" t="s">
        <v>23</v>
      </c>
      <c r="I61" s="4">
        <v>9</v>
      </c>
      <c r="J61" s="4" t="s">
        <v>89</v>
      </c>
      <c r="K61" s="4">
        <v>72</v>
      </c>
      <c r="L61" s="4">
        <v>11</v>
      </c>
      <c r="M61" s="4" t="s">
        <v>33</v>
      </c>
      <c r="N61" s="28">
        <v>0.212513471107016</v>
      </c>
      <c r="O61" s="4" t="s">
        <v>26</v>
      </c>
      <c r="P61" s="4">
        <v>792</v>
      </c>
      <c r="Q61" s="4">
        <v>624</v>
      </c>
      <c r="R61" s="4">
        <v>44</v>
      </c>
    </row>
    <row r="62" spans="1:18">
      <c r="A62" s="4" t="s">
        <v>224</v>
      </c>
      <c r="B62" s="4" t="s">
        <v>215</v>
      </c>
      <c r="C62" s="4" t="s">
        <v>73</v>
      </c>
      <c r="D62" s="27">
        <v>45248</v>
      </c>
      <c r="E62" s="4" t="s">
        <v>29</v>
      </c>
      <c r="F62" s="4" t="s">
        <v>21</v>
      </c>
      <c r="G62" s="4" t="s">
        <v>225</v>
      </c>
      <c r="H62" s="4" t="s">
        <v>31</v>
      </c>
      <c r="I62" s="4">
        <v>9</v>
      </c>
      <c r="J62" s="4" t="s">
        <v>93</v>
      </c>
      <c r="K62" s="4">
        <v>65</v>
      </c>
      <c r="L62" s="4">
        <v>12</v>
      </c>
      <c r="M62" s="4" t="s">
        <v>25</v>
      </c>
      <c r="N62" s="28">
        <v>0.109942576614138</v>
      </c>
      <c r="O62" s="4" t="s">
        <v>34</v>
      </c>
      <c r="P62" s="4">
        <v>780</v>
      </c>
      <c r="Q62" s="4">
        <v>694</v>
      </c>
      <c r="R62" s="4">
        <v>32</v>
      </c>
    </row>
    <row r="63" spans="1:18">
      <c r="A63" s="4" t="s">
        <v>226</v>
      </c>
      <c r="B63" s="4" t="s">
        <v>217</v>
      </c>
      <c r="C63" s="4" t="s">
        <v>77</v>
      </c>
      <c r="D63" s="27">
        <v>45238</v>
      </c>
      <c r="E63" s="4" t="s">
        <v>20</v>
      </c>
      <c r="F63" s="4" t="s">
        <v>21</v>
      </c>
      <c r="G63" s="4" t="s">
        <v>227</v>
      </c>
      <c r="H63" s="4" t="s">
        <v>40</v>
      </c>
      <c r="I63" s="4">
        <v>3</v>
      </c>
      <c r="J63" s="4" t="s">
        <v>96</v>
      </c>
      <c r="K63" s="4">
        <v>250</v>
      </c>
      <c r="L63" s="4">
        <v>2</v>
      </c>
      <c r="M63" s="4" t="s">
        <v>33</v>
      </c>
      <c r="N63" s="28">
        <v>0.536074989086071</v>
      </c>
      <c r="O63" s="4" t="s">
        <v>42</v>
      </c>
      <c r="P63" s="4">
        <v>500</v>
      </c>
      <c r="Q63" s="4">
        <v>232</v>
      </c>
      <c r="R63" s="4">
        <v>115</v>
      </c>
    </row>
    <row r="64" spans="1:18">
      <c r="A64" s="4" t="s">
        <v>228</v>
      </c>
      <c r="B64" s="4" t="s">
        <v>219</v>
      </c>
      <c r="C64" s="4" t="s">
        <v>229</v>
      </c>
      <c r="D64" s="27">
        <v>45238</v>
      </c>
      <c r="E64" s="4" t="s">
        <v>29</v>
      </c>
      <c r="F64" s="4" t="s">
        <v>21</v>
      </c>
      <c r="G64" s="4" t="s">
        <v>230</v>
      </c>
      <c r="H64" s="4" t="s">
        <v>23</v>
      </c>
      <c r="I64" s="4">
        <v>2</v>
      </c>
      <c r="J64" s="4" t="s">
        <v>58</v>
      </c>
      <c r="K64" s="4">
        <v>130</v>
      </c>
      <c r="L64" s="4">
        <v>6</v>
      </c>
      <c r="M64" s="4" t="s">
        <v>25</v>
      </c>
      <c r="N64" s="28">
        <v>0.037515550327758</v>
      </c>
      <c r="O64" s="4" t="s">
        <v>47</v>
      </c>
      <c r="P64" s="4">
        <v>780</v>
      </c>
      <c r="Q64" s="4">
        <v>751</v>
      </c>
      <c r="R64" s="4">
        <v>69</v>
      </c>
    </row>
    <row r="65" spans="1:18">
      <c r="A65" s="4" t="s">
        <v>231</v>
      </c>
      <c r="B65" s="4" t="s">
        <v>221</v>
      </c>
      <c r="C65" s="4" t="s">
        <v>84</v>
      </c>
      <c r="D65" s="27">
        <v>45260</v>
      </c>
      <c r="E65" s="4" t="s">
        <v>29</v>
      </c>
      <c r="F65" s="4" t="s">
        <v>21</v>
      </c>
      <c r="G65" s="4" t="s">
        <v>232</v>
      </c>
      <c r="H65" s="4" t="s">
        <v>31</v>
      </c>
      <c r="I65" s="4">
        <v>3</v>
      </c>
      <c r="J65" s="4" t="s">
        <v>63</v>
      </c>
      <c r="K65" s="4">
        <v>60</v>
      </c>
      <c r="L65" s="4">
        <v>15</v>
      </c>
      <c r="M65" s="4" t="s">
        <v>25</v>
      </c>
      <c r="N65" s="28">
        <v>0.0249382898866631</v>
      </c>
      <c r="O65" s="4" t="s">
        <v>68</v>
      </c>
      <c r="P65" s="4">
        <v>900</v>
      </c>
      <c r="Q65" s="4">
        <v>878</v>
      </c>
      <c r="R65" s="4">
        <v>15</v>
      </c>
    </row>
    <row r="66" spans="1:18">
      <c r="A66" s="4" t="s">
        <v>233</v>
      </c>
      <c r="B66" s="4" t="s">
        <v>224</v>
      </c>
      <c r="C66" s="4" t="s">
        <v>200</v>
      </c>
      <c r="D66" s="27">
        <v>45254</v>
      </c>
      <c r="E66" s="4" t="s">
        <v>20</v>
      </c>
      <c r="F66" s="4" t="s">
        <v>38</v>
      </c>
      <c r="G66" s="4" t="s">
        <v>234</v>
      </c>
      <c r="H66" s="4" t="s">
        <v>40</v>
      </c>
      <c r="I66" s="4">
        <v>10</v>
      </c>
      <c r="J66" s="4" t="s">
        <v>67</v>
      </c>
      <c r="K66" s="4">
        <v>95</v>
      </c>
      <c r="L66" s="4">
        <v>9</v>
      </c>
      <c r="M66" s="4" t="s">
        <v>33</v>
      </c>
      <c r="N66" s="28">
        <v>0.0101233919704142</v>
      </c>
      <c r="O66" s="4" t="s">
        <v>104</v>
      </c>
      <c r="P66" s="4">
        <v>855</v>
      </c>
      <c r="Q66" s="4">
        <v>846</v>
      </c>
      <c r="R66" s="4">
        <v>26</v>
      </c>
    </row>
    <row r="67" spans="1:18">
      <c r="A67" s="4" t="s">
        <v>235</v>
      </c>
      <c r="B67" s="4" t="s">
        <v>226</v>
      </c>
      <c r="C67" s="4" t="s">
        <v>203</v>
      </c>
      <c r="D67" s="27">
        <v>45243</v>
      </c>
      <c r="E67" s="4" t="s">
        <v>29</v>
      </c>
      <c r="F67" s="4" t="s">
        <v>21</v>
      </c>
      <c r="G67" s="4" t="s">
        <v>236</v>
      </c>
      <c r="H67" s="4" t="s">
        <v>23</v>
      </c>
      <c r="I67" s="4">
        <v>3</v>
      </c>
      <c r="J67" s="4" t="s">
        <v>103</v>
      </c>
      <c r="K67" s="4">
        <v>72</v>
      </c>
      <c r="L67" s="4">
        <v>12</v>
      </c>
      <c r="M67" s="4" t="s">
        <v>33</v>
      </c>
      <c r="N67" s="28">
        <v>0.130886936637914</v>
      </c>
      <c r="O67" s="4" t="s">
        <v>26</v>
      </c>
      <c r="P67" s="4">
        <v>864</v>
      </c>
      <c r="Q67" s="4">
        <v>751</v>
      </c>
      <c r="R67" s="4">
        <v>25</v>
      </c>
    </row>
    <row r="68" spans="1:18">
      <c r="A68" s="4" t="s">
        <v>237</v>
      </c>
      <c r="B68" s="4" t="s">
        <v>228</v>
      </c>
      <c r="C68" s="4" t="s">
        <v>28</v>
      </c>
      <c r="D68" s="27">
        <v>45232</v>
      </c>
      <c r="E68" s="4" t="s">
        <v>20</v>
      </c>
      <c r="F68" s="4" t="s">
        <v>21</v>
      </c>
      <c r="G68" s="4" t="s">
        <v>238</v>
      </c>
      <c r="H68" s="4" t="s">
        <v>31</v>
      </c>
      <c r="I68" s="4">
        <v>1</v>
      </c>
      <c r="J68" s="4" t="s">
        <v>108</v>
      </c>
      <c r="K68" s="4">
        <v>65</v>
      </c>
      <c r="L68" s="4">
        <v>7</v>
      </c>
      <c r="M68" s="4" t="s">
        <v>33</v>
      </c>
      <c r="N68" s="28">
        <v>0.0669619694929965</v>
      </c>
      <c r="O68" s="4" t="s">
        <v>34</v>
      </c>
      <c r="P68" s="4">
        <v>455</v>
      </c>
      <c r="Q68" s="4">
        <v>425</v>
      </c>
      <c r="R68" s="4">
        <v>30</v>
      </c>
    </row>
    <row r="69" spans="1:18">
      <c r="A69" s="4" t="s">
        <v>239</v>
      </c>
      <c r="B69" s="4" t="s">
        <v>231</v>
      </c>
      <c r="C69" s="4" t="s">
        <v>36</v>
      </c>
      <c r="D69" s="27">
        <v>45245</v>
      </c>
      <c r="E69" s="4" t="s">
        <v>29</v>
      </c>
      <c r="F69" s="4" t="s">
        <v>21</v>
      </c>
      <c r="G69" s="4" t="s">
        <v>240</v>
      </c>
      <c r="H69" s="4" t="s">
        <v>40</v>
      </c>
      <c r="I69" s="4">
        <v>5</v>
      </c>
      <c r="J69" s="4" t="s">
        <v>112</v>
      </c>
      <c r="K69" s="4">
        <v>250</v>
      </c>
      <c r="L69" s="4">
        <v>3</v>
      </c>
      <c r="M69" s="4" t="s">
        <v>25</v>
      </c>
      <c r="N69" s="28">
        <v>0.363507617946458</v>
      </c>
      <c r="O69" s="4" t="s">
        <v>42</v>
      </c>
      <c r="P69" s="4">
        <v>750</v>
      </c>
      <c r="Q69" s="4">
        <v>477</v>
      </c>
      <c r="R69" s="4">
        <v>125</v>
      </c>
    </row>
    <row r="70" spans="1:18">
      <c r="A70" s="4" t="s">
        <v>241</v>
      </c>
      <c r="B70" s="4" t="s">
        <v>233</v>
      </c>
      <c r="C70" s="4" t="s">
        <v>44</v>
      </c>
      <c r="D70" s="27">
        <v>45234</v>
      </c>
      <c r="E70" s="4" t="s">
        <v>20</v>
      </c>
      <c r="F70" s="4" t="s">
        <v>21</v>
      </c>
      <c r="G70" s="4" t="s">
        <v>242</v>
      </c>
      <c r="H70" s="4" t="s">
        <v>23</v>
      </c>
      <c r="I70" s="4">
        <v>1</v>
      </c>
      <c r="J70" s="4" t="s">
        <v>116</v>
      </c>
      <c r="K70" s="4">
        <v>130</v>
      </c>
      <c r="L70" s="4">
        <v>6</v>
      </c>
      <c r="M70" s="4" t="s">
        <v>25</v>
      </c>
      <c r="N70" s="28">
        <v>0.308414154919931</v>
      </c>
      <c r="O70" s="4" t="s">
        <v>47</v>
      </c>
      <c r="P70" s="4">
        <v>780</v>
      </c>
      <c r="Q70" s="4">
        <v>539</v>
      </c>
      <c r="R70" s="4">
        <v>59</v>
      </c>
    </row>
    <row r="71" spans="1:18">
      <c r="A71" s="4" t="s">
        <v>243</v>
      </c>
      <c r="B71" s="4" t="s">
        <v>235</v>
      </c>
      <c r="C71" s="4" t="s">
        <v>49</v>
      </c>
      <c r="D71" s="27">
        <v>45244</v>
      </c>
      <c r="E71" s="4" t="s">
        <v>29</v>
      </c>
      <c r="F71" s="4" t="s">
        <v>21</v>
      </c>
      <c r="G71" s="4" t="s">
        <v>244</v>
      </c>
      <c r="H71" s="4" t="s">
        <v>31</v>
      </c>
      <c r="I71" s="4">
        <v>5</v>
      </c>
      <c r="J71" s="4" t="s">
        <v>120</v>
      </c>
      <c r="K71" s="4">
        <v>72</v>
      </c>
      <c r="L71" s="4">
        <v>9</v>
      </c>
      <c r="M71" s="4" t="s">
        <v>25</v>
      </c>
      <c r="N71" s="28">
        <v>0.212873013219896</v>
      </c>
      <c r="O71" s="4" t="s">
        <v>26</v>
      </c>
      <c r="P71" s="4">
        <v>648</v>
      </c>
      <c r="Q71" s="4">
        <v>510</v>
      </c>
      <c r="R71" s="4">
        <v>30</v>
      </c>
    </row>
    <row r="72" spans="1:18">
      <c r="A72" s="4" t="s">
        <v>245</v>
      </c>
      <c r="B72" s="4" t="s">
        <v>237</v>
      </c>
      <c r="C72" s="4" t="s">
        <v>53</v>
      </c>
      <c r="D72" s="27">
        <v>45238</v>
      </c>
      <c r="E72" s="4" t="s">
        <v>37</v>
      </c>
      <c r="F72" s="4" t="s">
        <v>38</v>
      </c>
      <c r="G72" s="4" t="s">
        <v>246</v>
      </c>
      <c r="H72" s="4" t="s">
        <v>40</v>
      </c>
      <c r="I72" s="4">
        <v>5</v>
      </c>
      <c r="J72" s="4" t="s">
        <v>124</v>
      </c>
      <c r="K72" s="4">
        <v>65</v>
      </c>
      <c r="L72" s="4">
        <v>4</v>
      </c>
      <c r="M72" s="4" t="s">
        <v>25</v>
      </c>
      <c r="N72" s="28">
        <v>0.110477426017951</v>
      </c>
      <c r="O72" s="4" t="s">
        <v>34</v>
      </c>
      <c r="P72" s="4">
        <v>260</v>
      </c>
      <c r="Q72" s="4">
        <v>231</v>
      </c>
      <c r="R72" s="4">
        <v>29</v>
      </c>
    </row>
    <row r="73" spans="1:18">
      <c r="A73" s="4" t="s">
        <v>247</v>
      </c>
      <c r="B73" s="4" t="s">
        <v>239</v>
      </c>
      <c r="C73" s="4" t="s">
        <v>61</v>
      </c>
      <c r="D73" s="27">
        <v>45246</v>
      </c>
      <c r="E73" s="4" t="s">
        <v>20</v>
      </c>
      <c r="F73" s="4" t="s">
        <v>21</v>
      </c>
      <c r="G73" s="4" t="s">
        <v>248</v>
      </c>
      <c r="H73" s="4" t="s">
        <v>23</v>
      </c>
      <c r="I73" s="4">
        <v>3</v>
      </c>
      <c r="J73" s="4" t="s">
        <v>128</v>
      </c>
      <c r="K73" s="4">
        <v>250</v>
      </c>
      <c r="L73" s="4">
        <v>2</v>
      </c>
      <c r="M73" s="4" t="s">
        <v>25</v>
      </c>
      <c r="N73" s="28">
        <v>0.0487991561516312</v>
      </c>
      <c r="O73" s="4" t="s">
        <v>42</v>
      </c>
      <c r="P73" s="4">
        <v>500</v>
      </c>
      <c r="Q73" s="4">
        <v>476</v>
      </c>
      <c r="R73" s="4">
        <v>163</v>
      </c>
    </row>
    <row r="74" spans="1:18">
      <c r="A74" s="4" t="s">
        <v>249</v>
      </c>
      <c r="B74" s="4" t="s">
        <v>241</v>
      </c>
      <c r="C74" s="4"/>
      <c r="D74" s="27">
        <v>45236</v>
      </c>
      <c r="E74" s="4" t="s">
        <v>29</v>
      </c>
      <c r="F74" s="4" t="s">
        <v>21</v>
      </c>
      <c r="G74" s="4" t="s">
        <v>250</v>
      </c>
      <c r="H74" s="4" t="s">
        <v>31</v>
      </c>
      <c r="I74" s="4">
        <v>3</v>
      </c>
      <c r="J74" s="4" t="s">
        <v>63</v>
      </c>
      <c r="K74" s="4">
        <v>130</v>
      </c>
      <c r="L74" s="4">
        <v>6</v>
      </c>
      <c r="M74" s="4" t="s">
        <v>25</v>
      </c>
      <c r="N74" s="28">
        <v>0.278795061769214</v>
      </c>
      <c r="O74" s="4" t="s">
        <v>47</v>
      </c>
      <c r="P74" s="4">
        <v>780</v>
      </c>
      <c r="Q74" s="4">
        <v>563</v>
      </c>
      <c r="R74" s="4">
        <v>78</v>
      </c>
    </row>
    <row r="75" spans="1:18">
      <c r="A75" s="4" t="s">
        <v>251</v>
      </c>
      <c r="B75" s="4" t="s">
        <v>243</v>
      </c>
      <c r="C75" s="4" t="s">
        <v>65</v>
      </c>
      <c r="D75" s="27">
        <v>45252</v>
      </c>
      <c r="E75" s="4" t="s">
        <v>29</v>
      </c>
      <c r="F75" s="4" t="s">
        <v>21</v>
      </c>
      <c r="G75" s="4" t="s">
        <v>252</v>
      </c>
      <c r="H75" s="4" t="s">
        <v>40</v>
      </c>
      <c r="I75" s="4">
        <v>7</v>
      </c>
      <c r="J75" s="4" t="s">
        <v>67</v>
      </c>
      <c r="K75" s="4">
        <v>60</v>
      </c>
      <c r="L75" s="4">
        <v>9</v>
      </c>
      <c r="M75" s="4" t="s">
        <v>25</v>
      </c>
      <c r="N75" s="28">
        <v>0.076045534046593</v>
      </c>
      <c r="O75" s="4" t="s">
        <v>68</v>
      </c>
      <c r="P75" s="4">
        <v>540</v>
      </c>
      <c r="Q75" s="4">
        <v>499</v>
      </c>
      <c r="R75" s="4">
        <v>19</v>
      </c>
    </row>
    <row r="76" spans="1:18">
      <c r="A76" s="4" t="s">
        <v>253</v>
      </c>
      <c r="B76" s="4" t="s">
        <v>245</v>
      </c>
      <c r="C76" s="4" t="s">
        <v>53</v>
      </c>
      <c r="D76" s="27">
        <v>45238</v>
      </c>
      <c r="E76" s="4" t="s">
        <v>20</v>
      </c>
      <c r="F76" s="4" t="s">
        <v>21</v>
      </c>
      <c r="G76" s="4" t="s">
        <v>254</v>
      </c>
      <c r="H76" s="4" t="s">
        <v>23</v>
      </c>
      <c r="I76" s="4">
        <v>4</v>
      </c>
      <c r="J76" s="4" t="s">
        <v>71</v>
      </c>
      <c r="K76" s="4">
        <v>72</v>
      </c>
      <c r="L76" s="4">
        <v>11</v>
      </c>
      <c r="M76" s="4" t="s">
        <v>25</v>
      </c>
      <c r="N76" s="28">
        <v>0.120557627547403</v>
      </c>
      <c r="O76" s="4" t="s">
        <v>26</v>
      </c>
      <c r="P76" s="4">
        <v>792</v>
      </c>
      <c r="Q76" s="4">
        <v>697</v>
      </c>
      <c r="R76" s="4">
        <v>27</v>
      </c>
    </row>
    <row r="77" spans="1:18">
      <c r="A77" s="4" t="s">
        <v>255</v>
      </c>
      <c r="B77" s="4" t="s">
        <v>247</v>
      </c>
      <c r="C77" s="4" t="s">
        <v>73</v>
      </c>
      <c r="D77" s="27">
        <v>45232</v>
      </c>
      <c r="E77" s="4" t="s">
        <v>29</v>
      </c>
      <c r="F77" s="4" t="s">
        <v>21</v>
      </c>
      <c r="G77" s="4" t="s">
        <v>256</v>
      </c>
      <c r="H77" s="4" t="s">
        <v>31</v>
      </c>
      <c r="I77" s="4">
        <v>3</v>
      </c>
      <c r="J77" s="4" t="s">
        <v>132</v>
      </c>
      <c r="K77" s="4">
        <v>65</v>
      </c>
      <c r="L77" s="4">
        <v>13</v>
      </c>
      <c r="M77" s="4" t="s">
        <v>25</v>
      </c>
      <c r="N77" s="28">
        <v>0.302839463377806</v>
      </c>
      <c r="O77" s="4" t="s">
        <v>34</v>
      </c>
      <c r="P77" s="4">
        <v>845</v>
      </c>
      <c r="Q77" s="4">
        <v>589</v>
      </c>
      <c r="R77" s="4">
        <v>21</v>
      </c>
    </row>
    <row r="78" spans="1:18">
      <c r="A78" s="4" t="s">
        <v>257</v>
      </c>
      <c r="B78" s="4" t="s">
        <v>249</v>
      </c>
      <c r="C78" s="4" t="s">
        <v>77</v>
      </c>
      <c r="D78" s="27">
        <v>45241</v>
      </c>
      <c r="E78" s="4" t="s">
        <v>20</v>
      </c>
      <c r="F78" s="4" t="s">
        <v>38</v>
      </c>
      <c r="G78" s="4" t="s">
        <v>258</v>
      </c>
      <c r="H78" s="4" t="s">
        <v>40</v>
      </c>
      <c r="I78" s="4">
        <v>8</v>
      </c>
      <c r="J78" s="4" t="s">
        <v>136</v>
      </c>
      <c r="K78" s="4">
        <v>250</v>
      </c>
      <c r="L78" s="4">
        <v>2</v>
      </c>
      <c r="M78" s="4" t="s">
        <v>33</v>
      </c>
      <c r="N78" s="28">
        <v>0.414018298732583</v>
      </c>
      <c r="O78" s="4" t="s">
        <v>42</v>
      </c>
      <c r="P78" s="4">
        <v>500</v>
      </c>
      <c r="Q78" s="4">
        <v>293</v>
      </c>
      <c r="R78" s="4">
        <v>115</v>
      </c>
    </row>
    <row r="79" spans="1:18">
      <c r="A79" s="4" t="s">
        <v>259</v>
      </c>
      <c r="B79" s="4" t="s">
        <v>251</v>
      </c>
      <c r="C79" s="4" t="s">
        <v>229</v>
      </c>
      <c r="D79" s="27">
        <v>45242</v>
      </c>
      <c r="E79" s="4" t="s">
        <v>29</v>
      </c>
      <c r="F79" s="4" t="s">
        <v>21</v>
      </c>
      <c r="G79" s="4" t="s">
        <v>260</v>
      </c>
      <c r="H79" s="4" t="s">
        <v>23</v>
      </c>
      <c r="I79" s="4">
        <v>2</v>
      </c>
      <c r="J79" s="4" t="s">
        <v>141</v>
      </c>
      <c r="K79" s="4">
        <v>130</v>
      </c>
      <c r="L79" s="4">
        <v>6</v>
      </c>
      <c r="M79" s="4" t="s">
        <v>25</v>
      </c>
      <c r="N79" s="28">
        <v>0.00616036602712923</v>
      </c>
      <c r="O79" s="4" t="s">
        <v>47</v>
      </c>
      <c r="P79" s="4">
        <v>780</v>
      </c>
      <c r="Q79" s="4">
        <v>775</v>
      </c>
      <c r="R79" s="4">
        <v>59</v>
      </c>
    </row>
    <row r="80" spans="1:18">
      <c r="A80" s="4" t="s">
        <v>261</v>
      </c>
      <c r="B80" s="4" t="s">
        <v>253</v>
      </c>
      <c r="C80" s="4" t="s">
        <v>84</v>
      </c>
      <c r="D80" s="27">
        <v>45253</v>
      </c>
      <c r="E80" s="4" t="s">
        <v>29</v>
      </c>
      <c r="F80" s="4" t="s">
        <v>21</v>
      </c>
      <c r="G80" s="4" t="s">
        <v>262</v>
      </c>
      <c r="H80" s="4" t="s">
        <v>31</v>
      </c>
      <c r="I80" s="4">
        <v>9</v>
      </c>
      <c r="J80" s="4" t="s">
        <v>24</v>
      </c>
      <c r="K80" s="4">
        <v>72</v>
      </c>
      <c r="L80" s="4">
        <v>12</v>
      </c>
      <c r="M80" s="4" t="s">
        <v>25</v>
      </c>
      <c r="N80" s="28">
        <v>0.104959636722332</v>
      </c>
      <c r="O80" s="4" t="s">
        <v>26</v>
      </c>
      <c r="P80" s="4">
        <v>864</v>
      </c>
      <c r="Q80" s="4">
        <v>773</v>
      </c>
      <c r="R80" s="4">
        <v>37</v>
      </c>
    </row>
    <row r="81" spans="1:18">
      <c r="A81" s="4" t="s">
        <v>263</v>
      </c>
      <c r="B81" s="4" t="s">
        <v>255</v>
      </c>
      <c r="C81" s="4" t="s">
        <v>53</v>
      </c>
      <c r="D81" s="27">
        <v>45241</v>
      </c>
      <c r="E81" s="4" t="s">
        <v>20</v>
      </c>
      <c r="F81" s="4" t="s">
        <v>21</v>
      </c>
      <c r="G81" s="4" t="s">
        <v>264</v>
      </c>
      <c r="H81" s="4" t="s">
        <v>40</v>
      </c>
      <c r="I81" s="4">
        <v>6</v>
      </c>
      <c r="J81" s="4" t="s">
        <v>32</v>
      </c>
      <c r="K81" s="4">
        <v>65</v>
      </c>
      <c r="L81" s="4">
        <v>11</v>
      </c>
      <c r="M81" s="4" t="s">
        <v>25</v>
      </c>
      <c r="N81" s="28">
        <v>0.293772739064756</v>
      </c>
      <c r="O81" s="4" t="s">
        <v>34</v>
      </c>
      <c r="P81" s="4">
        <v>715</v>
      </c>
      <c r="Q81" s="4">
        <v>505</v>
      </c>
      <c r="R81" s="4">
        <v>20</v>
      </c>
    </row>
    <row r="82" spans="1:18">
      <c r="A82" s="4" t="s">
        <v>265</v>
      </c>
      <c r="B82" s="4" t="s">
        <v>257</v>
      </c>
      <c r="C82" s="4" t="s">
        <v>91</v>
      </c>
      <c r="D82" s="27">
        <v>45245</v>
      </c>
      <c r="E82" s="4" t="s">
        <v>29</v>
      </c>
      <c r="F82" s="4" t="s">
        <v>21</v>
      </c>
      <c r="G82" s="4" t="s">
        <v>266</v>
      </c>
      <c r="H82" s="4" t="s">
        <v>23</v>
      </c>
      <c r="I82" s="4">
        <v>7</v>
      </c>
      <c r="J82" s="4" t="s">
        <v>86</v>
      </c>
      <c r="K82" s="4">
        <v>250</v>
      </c>
      <c r="L82" s="4">
        <v>3</v>
      </c>
      <c r="M82" s="4" t="s">
        <v>25</v>
      </c>
      <c r="N82" s="28">
        <v>0.565598101019242</v>
      </c>
      <c r="O82" s="4" t="s">
        <v>42</v>
      </c>
      <c r="P82" s="4">
        <v>750</v>
      </c>
      <c r="Q82" s="4">
        <v>326</v>
      </c>
      <c r="R82" s="4">
        <v>118</v>
      </c>
    </row>
    <row r="83" spans="1:18">
      <c r="A83" s="4" t="s">
        <v>267</v>
      </c>
      <c r="B83" s="4" t="s">
        <v>259</v>
      </c>
      <c r="C83" s="4" t="s">
        <v>77</v>
      </c>
      <c r="D83" s="27">
        <v>45251</v>
      </c>
      <c r="E83" s="4" t="s">
        <v>29</v>
      </c>
      <c r="F83" s="4" t="s">
        <v>21</v>
      </c>
      <c r="G83" s="4" t="s">
        <v>268</v>
      </c>
      <c r="H83" s="4" t="s">
        <v>31</v>
      </c>
      <c r="I83" s="4">
        <v>9</v>
      </c>
      <c r="J83" s="4" t="s">
        <v>89</v>
      </c>
      <c r="K83" s="4">
        <v>130</v>
      </c>
      <c r="L83" s="4">
        <v>4</v>
      </c>
      <c r="M83" s="4" t="s">
        <v>25</v>
      </c>
      <c r="N83" s="28">
        <v>0.141803678257353</v>
      </c>
      <c r="O83" s="4" t="s">
        <v>47</v>
      </c>
      <c r="P83" s="4">
        <v>520</v>
      </c>
      <c r="Q83" s="4">
        <v>446</v>
      </c>
      <c r="R83" s="4">
        <v>73</v>
      </c>
    </row>
    <row r="84" spans="1:18">
      <c r="A84" s="4" t="s">
        <v>269</v>
      </c>
      <c r="B84" s="4" t="s">
        <v>261</v>
      </c>
      <c r="C84" s="4" t="s">
        <v>49</v>
      </c>
      <c r="D84" s="27">
        <v>45237</v>
      </c>
      <c r="E84" s="4" t="s">
        <v>20</v>
      </c>
      <c r="F84" s="4" t="s">
        <v>38</v>
      </c>
      <c r="G84" s="4" t="s">
        <v>270</v>
      </c>
      <c r="H84" s="4" t="s">
        <v>40</v>
      </c>
      <c r="I84" s="4">
        <v>2</v>
      </c>
      <c r="J84" s="4" t="s">
        <v>93</v>
      </c>
      <c r="K84" s="4">
        <v>60</v>
      </c>
      <c r="L84" s="4">
        <v>14</v>
      </c>
      <c r="M84" s="4" t="s">
        <v>33</v>
      </c>
      <c r="N84" s="28">
        <v>0.197275854071215</v>
      </c>
      <c r="O84" s="4" t="s">
        <v>68</v>
      </c>
      <c r="P84" s="4">
        <v>840</v>
      </c>
      <c r="Q84" s="4">
        <v>674</v>
      </c>
      <c r="R84" s="4">
        <v>20</v>
      </c>
    </row>
    <row r="85" spans="1:18">
      <c r="A85" s="4" t="s">
        <v>271</v>
      </c>
      <c r="B85" s="4" t="s">
        <v>263</v>
      </c>
      <c r="C85" s="4" t="s">
        <v>73</v>
      </c>
      <c r="D85" s="27">
        <v>45245</v>
      </c>
      <c r="E85" s="4" t="s">
        <v>29</v>
      </c>
      <c r="F85" s="4" t="s">
        <v>21</v>
      </c>
      <c r="G85" s="4" t="s">
        <v>272</v>
      </c>
      <c r="H85" s="4" t="s">
        <v>23</v>
      </c>
      <c r="I85" s="4">
        <v>9</v>
      </c>
      <c r="J85" s="4" t="s">
        <v>96</v>
      </c>
      <c r="K85" s="4">
        <v>95</v>
      </c>
      <c r="L85" s="4">
        <v>2</v>
      </c>
      <c r="M85" s="4" t="s">
        <v>25</v>
      </c>
      <c r="N85" s="28">
        <v>0.160267073739108</v>
      </c>
      <c r="O85" s="4" t="s">
        <v>104</v>
      </c>
      <c r="P85" s="4">
        <v>190</v>
      </c>
      <c r="Q85" s="4">
        <v>160</v>
      </c>
      <c r="R85" s="4">
        <v>53</v>
      </c>
    </row>
    <row r="86" spans="1:18">
      <c r="A86" s="4" t="s">
        <v>273</v>
      </c>
      <c r="B86" s="4" t="s">
        <v>265</v>
      </c>
      <c r="C86" s="4"/>
      <c r="D86" s="27">
        <v>45242</v>
      </c>
      <c r="E86" s="4" t="s">
        <v>20</v>
      </c>
      <c r="F86" s="4" t="s">
        <v>21</v>
      </c>
      <c r="G86" s="4" t="s">
        <v>274</v>
      </c>
      <c r="H86" s="4" t="s">
        <v>31</v>
      </c>
      <c r="I86" s="4">
        <v>10</v>
      </c>
      <c r="J86" s="4" t="s">
        <v>58</v>
      </c>
      <c r="K86" s="4">
        <v>72</v>
      </c>
      <c r="L86" s="4">
        <v>4</v>
      </c>
      <c r="M86" s="4" t="s">
        <v>25</v>
      </c>
      <c r="N86" s="28">
        <v>0.0367542348170177</v>
      </c>
      <c r="O86" s="4" t="s">
        <v>26</v>
      </c>
      <c r="P86" s="4">
        <v>288</v>
      </c>
      <c r="Q86" s="4">
        <v>277</v>
      </c>
      <c r="R86" s="4">
        <v>27</v>
      </c>
    </row>
    <row r="87" spans="1:18">
      <c r="A87" s="4" t="s">
        <v>275</v>
      </c>
      <c r="B87" s="4" t="s">
        <v>267</v>
      </c>
      <c r="C87" s="4" t="s">
        <v>110</v>
      </c>
      <c r="D87" s="27">
        <v>45252</v>
      </c>
      <c r="E87" s="4" t="s">
        <v>29</v>
      </c>
      <c r="F87" s="4" t="s">
        <v>21</v>
      </c>
      <c r="G87" s="4" t="s">
        <v>276</v>
      </c>
      <c r="H87" s="4" t="s">
        <v>40</v>
      </c>
      <c r="I87" s="4">
        <v>1</v>
      </c>
      <c r="J87" s="4" t="s">
        <v>63</v>
      </c>
      <c r="K87" s="4">
        <v>65</v>
      </c>
      <c r="L87" s="4">
        <v>6</v>
      </c>
      <c r="M87" s="4" t="s">
        <v>25</v>
      </c>
      <c r="N87" s="28">
        <v>0.120474270341696</v>
      </c>
      <c r="O87" s="4" t="s">
        <v>34</v>
      </c>
      <c r="P87" s="4">
        <v>390</v>
      </c>
      <c r="Q87" s="4">
        <v>343</v>
      </c>
      <c r="R87" s="4">
        <v>17</v>
      </c>
    </row>
    <row r="88" spans="1:18">
      <c r="A88" s="4" t="s">
        <v>277</v>
      </c>
      <c r="B88" s="4" t="s">
        <v>269</v>
      </c>
      <c r="C88" s="4" t="s">
        <v>114</v>
      </c>
      <c r="D88" s="27">
        <v>45248</v>
      </c>
      <c r="E88" s="4" t="s">
        <v>20</v>
      </c>
      <c r="F88" s="4" t="s">
        <v>21</v>
      </c>
      <c r="G88" s="4" t="s">
        <v>278</v>
      </c>
      <c r="H88" s="4" t="s">
        <v>23</v>
      </c>
      <c r="I88" s="4">
        <v>1</v>
      </c>
      <c r="J88" s="4" t="s">
        <v>67</v>
      </c>
      <c r="K88" s="4">
        <v>250</v>
      </c>
      <c r="L88" s="4">
        <v>2</v>
      </c>
      <c r="M88" s="4" t="s">
        <v>33</v>
      </c>
      <c r="N88" s="28">
        <v>0.38636401364593</v>
      </c>
      <c r="O88" s="4" t="s">
        <v>42</v>
      </c>
      <c r="P88" s="4">
        <v>500</v>
      </c>
      <c r="Q88" s="4">
        <v>307</v>
      </c>
      <c r="R88" s="4">
        <v>103</v>
      </c>
    </row>
    <row r="89" spans="1:18">
      <c r="A89" s="4" t="s">
        <v>279</v>
      </c>
      <c r="B89" s="4" t="s">
        <v>271</v>
      </c>
      <c r="C89" s="4" t="s">
        <v>118</v>
      </c>
      <c r="D89" s="27">
        <v>45260</v>
      </c>
      <c r="E89" s="4" t="s">
        <v>29</v>
      </c>
      <c r="F89" s="4" t="s">
        <v>21</v>
      </c>
      <c r="G89" s="4" t="s">
        <v>280</v>
      </c>
      <c r="H89" s="4" t="s">
        <v>31</v>
      </c>
      <c r="I89" s="4">
        <v>10</v>
      </c>
      <c r="J89" s="4" t="s">
        <v>103</v>
      </c>
      <c r="K89" s="4">
        <v>130</v>
      </c>
      <c r="L89" s="4">
        <v>5</v>
      </c>
      <c r="M89" s="4" t="s">
        <v>33</v>
      </c>
      <c r="N89" s="28">
        <v>0.251119309854959</v>
      </c>
      <c r="O89" s="4" t="s">
        <v>47</v>
      </c>
      <c r="P89" s="4">
        <v>650</v>
      </c>
      <c r="Q89" s="4">
        <v>487</v>
      </c>
      <c r="R89" s="4">
        <v>46</v>
      </c>
    </row>
    <row r="90" spans="1:18">
      <c r="A90" s="4" t="s">
        <v>281</v>
      </c>
      <c r="B90" s="4" t="s">
        <v>273</v>
      </c>
      <c r="C90" s="4" t="s">
        <v>122</v>
      </c>
      <c r="D90" s="27">
        <v>45260</v>
      </c>
      <c r="E90" s="4" t="s">
        <v>37</v>
      </c>
      <c r="F90" s="4" t="s">
        <v>38</v>
      </c>
      <c r="G90" s="4" t="s">
        <v>282</v>
      </c>
      <c r="H90" s="4" t="s">
        <v>40</v>
      </c>
      <c r="I90" s="4">
        <v>4</v>
      </c>
      <c r="J90" s="4" t="s">
        <v>108</v>
      </c>
      <c r="K90" s="4">
        <v>72</v>
      </c>
      <c r="L90" s="4">
        <v>6</v>
      </c>
      <c r="M90" s="4" t="s">
        <v>33</v>
      </c>
      <c r="N90" s="28">
        <v>0.180991690498891</v>
      </c>
      <c r="O90" s="4" t="s">
        <v>26</v>
      </c>
      <c r="P90" s="4">
        <v>432</v>
      </c>
      <c r="Q90" s="4">
        <v>354</v>
      </c>
      <c r="R90" s="4">
        <v>20</v>
      </c>
    </row>
    <row r="91" spans="1:18">
      <c r="A91" s="4" t="s">
        <v>283</v>
      </c>
      <c r="B91" s="4" t="s">
        <v>275</v>
      </c>
      <c r="C91" s="4" t="s">
        <v>126</v>
      </c>
      <c r="D91" s="27">
        <v>45231</v>
      </c>
      <c r="E91" s="4" t="s">
        <v>20</v>
      </c>
      <c r="F91" s="4" t="s">
        <v>21</v>
      </c>
      <c r="G91" s="4" t="s">
        <v>284</v>
      </c>
      <c r="H91" s="4" t="s">
        <v>23</v>
      </c>
      <c r="I91" s="4">
        <v>7</v>
      </c>
      <c r="J91" s="4" t="s">
        <v>112</v>
      </c>
      <c r="K91" s="4">
        <v>65</v>
      </c>
      <c r="L91" s="4">
        <v>6</v>
      </c>
      <c r="M91" s="4" t="s">
        <v>33</v>
      </c>
      <c r="N91" s="28">
        <v>0.173637863650005</v>
      </c>
      <c r="O91" s="4" t="s">
        <v>34</v>
      </c>
      <c r="P91" s="4">
        <v>390</v>
      </c>
      <c r="Q91" s="4">
        <v>322</v>
      </c>
      <c r="R91" s="4">
        <v>32</v>
      </c>
    </row>
    <row r="92" spans="1:18">
      <c r="A92" s="4" t="s">
        <v>285</v>
      </c>
      <c r="B92" s="4" t="s">
        <v>277</v>
      </c>
      <c r="C92" s="4" t="s">
        <v>130</v>
      </c>
      <c r="D92" s="27">
        <v>45260</v>
      </c>
      <c r="E92" s="4" t="s">
        <v>29</v>
      </c>
      <c r="F92" s="4" t="s">
        <v>21</v>
      </c>
      <c r="G92" s="4" t="s">
        <v>286</v>
      </c>
      <c r="H92" s="4" t="s">
        <v>31</v>
      </c>
      <c r="I92" s="4">
        <v>3</v>
      </c>
      <c r="J92" s="4" t="s">
        <v>116</v>
      </c>
      <c r="K92" s="4">
        <v>250</v>
      </c>
      <c r="L92" s="4">
        <v>3</v>
      </c>
      <c r="M92" s="4" t="s">
        <v>33</v>
      </c>
      <c r="N92" s="28">
        <v>0.754898141374743</v>
      </c>
      <c r="O92" s="4" t="s">
        <v>42</v>
      </c>
      <c r="P92" s="4">
        <v>750</v>
      </c>
      <c r="Q92" s="4">
        <v>184</v>
      </c>
      <c r="R92" s="4">
        <v>65</v>
      </c>
    </row>
    <row r="93" spans="1:18">
      <c r="A93" s="4" t="s">
        <v>287</v>
      </c>
      <c r="B93" s="4" t="s">
        <v>279</v>
      </c>
      <c r="C93" s="4" t="s">
        <v>134</v>
      </c>
      <c r="D93" s="27">
        <v>45235</v>
      </c>
      <c r="E93" s="4" t="s">
        <v>29</v>
      </c>
      <c r="F93" s="4" t="s">
        <v>21</v>
      </c>
      <c r="G93" s="4" t="s">
        <v>288</v>
      </c>
      <c r="H93" s="4" t="s">
        <v>40</v>
      </c>
      <c r="I93" s="4">
        <v>6</v>
      </c>
      <c r="J93" s="4" t="s">
        <v>120</v>
      </c>
      <c r="K93" s="4">
        <v>130</v>
      </c>
      <c r="L93" s="4">
        <v>4</v>
      </c>
      <c r="M93" s="4" t="s">
        <v>33</v>
      </c>
      <c r="N93" s="28">
        <v>0.418262262464108</v>
      </c>
      <c r="O93" s="4" t="s">
        <v>47</v>
      </c>
      <c r="P93" s="4">
        <v>520</v>
      </c>
      <c r="Q93" s="4">
        <v>303</v>
      </c>
      <c r="R93" s="4">
        <v>66</v>
      </c>
    </row>
    <row r="94" spans="1:18">
      <c r="A94" s="4" t="s">
        <v>289</v>
      </c>
      <c r="B94" s="4" t="s">
        <v>281</v>
      </c>
      <c r="C94" s="4" t="s">
        <v>139</v>
      </c>
      <c r="D94" s="27">
        <v>45244</v>
      </c>
      <c r="E94" s="4" t="s">
        <v>20</v>
      </c>
      <c r="F94" s="4" t="s">
        <v>21</v>
      </c>
      <c r="G94" s="4" t="s">
        <v>290</v>
      </c>
      <c r="H94" s="4" t="s">
        <v>23</v>
      </c>
      <c r="I94" s="4">
        <v>6</v>
      </c>
      <c r="J94" s="4" t="s">
        <v>124</v>
      </c>
      <c r="K94" s="4">
        <v>72</v>
      </c>
      <c r="L94" s="4">
        <v>11</v>
      </c>
      <c r="M94" s="4" t="s">
        <v>25</v>
      </c>
      <c r="N94" s="28">
        <v>0.521835125908508</v>
      </c>
      <c r="O94" s="4" t="s">
        <v>26</v>
      </c>
      <c r="P94" s="4">
        <v>792</v>
      </c>
      <c r="Q94" s="4">
        <v>379</v>
      </c>
      <c r="R94" s="4">
        <v>43</v>
      </c>
    </row>
    <row r="95" spans="1:18">
      <c r="A95" s="4" t="s">
        <v>291</v>
      </c>
      <c r="B95" s="4" t="s">
        <v>283</v>
      </c>
      <c r="C95" s="4" t="s">
        <v>143</v>
      </c>
      <c r="D95" s="27">
        <v>45257</v>
      </c>
      <c r="E95" s="4" t="s">
        <v>29</v>
      </c>
      <c r="F95" s="4" t="s">
        <v>21</v>
      </c>
      <c r="G95" s="4" t="s">
        <v>292</v>
      </c>
      <c r="H95" s="4" t="s">
        <v>31</v>
      </c>
      <c r="I95" s="4">
        <v>5</v>
      </c>
      <c r="J95" s="4" t="s">
        <v>128</v>
      </c>
      <c r="K95" s="4">
        <v>65</v>
      </c>
      <c r="L95" s="4">
        <v>12</v>
      </c>
      <c r="M95" s="4" t="s">
        <v>33</v>
      </c>
      <c r="N95" s="28">
        <v>0.44072649836079</v>
      </c>
      <c r="O95" s="4" t="s">
        <v>34</v>
      </c>
      <c r="P95" s="4">
        <v>780</v>
      </c>
      <c r="Q95" s="4">
        <v>436</v>
      </c>
      <c r="R95" s="4">
        <v>33</v>
      </c>
    </row>
    <row r="96" spans="1:18">
      <c r="A96" s="4" t="s">
        <v>293</v>
      </c>
      <c r="B96" s="4" t="s">
        <v>285</v>
      </c>
      <c r="C96" s="4" t="s">
        <v>146</v>
      </c>
      <c r="D96" s="27">
        <v>45231</v>
      </c>
      <c r="E96" s="4" t="s">
        <v>20</v>
      </c>
      <c r="F96" s="4" t="s">
        <v>38</v>
      </c>
      <c r="G96" s="4" t="s">
        <v>294</v>
      </c>
      <c r="H96" s="4" t="s">
        <v>40</v>
      </c>
      <c r="I96" s="4">
        <v>1</v>
      </c>
      <c r="J96" s="4" t="s">
        <v>63</v>
      </c>
      <c r="K96" s="4">
        <v>250</v>
      </c>
      <c r="L96" s="4">
        <v>3</v>
      </c>
      <c r="M96" s="4" t="s">
        <v>25</v>
      </c>
      <c r="N96" s="28">
        <v>0.301237691320284</v>
      </c>
      <c r="O96" s="4" t="s">
        <v>42</v>
      </c>
      <c r="P96" s="4">
        <v>750</v>
      </c>
      <c r="Q96" s="4">
        <v>524</v>
      </c>
      <c r="R96" s="4">
        <v>90</v>
      </c>
    </row>
    <row r="97" spans="1:18">
      <c r="A97" s="4" t="s">
        <v>295</v>
      </c>
      <c r="B97" s="4" t="s">
        <v>287</v>
      </c>
      <c r="C97" s="4" t="s">
        <v>149</v>
      </c>
      <c r="D97" s="27">
        <v>45260</v>
      </c>
      <c r="E97" s="4" t="s">
        <v>29</v>
      </c>
      <c r="F97" s="4" t="s">
        <v>21</v>
      </c>
      <c r="G97" s="4" t="s">
        <v>296</v>
      </c>
      <c r="H97" s="4" t="s">
        <v>23</v>
      </c>
      <c r="I97" s="4">
        <v>9</v>
      </c>
      <c r="J97" s="4" t="s">
        <v>67</v>
      </c>
      <c r="K97" s="4">
        <v>130</v>
      </c>
      <c r="L97" s="4">
        <v>4</v>
      </c>
      <c r="M97" s="4" t="s">
        <v>33</v>
      </c>
      <c r="N97" s="28">
        <v>0.420205578639057</v>
      </c>
      <c r="O97" s="4" t="s">
        <v>47</v>
      </c>
      <c r="P97" s="4">
        <v>520</v>
      </c>
      <c r="Q97" s="4">
        <v>301</v>
      </c>
      <c r="R97" s="4">
        <v>44</v>
      </c>
    </row>
    <row r="98" spans="1:18">
      <c r="A98" s="4" t="s">
        <v>297</v>
      </c>
      <c r="B98" s="4" t="s">
        <v>289</v>
      </c>
      <c r="C98" s="4" t="s">
        <v>152</v>
      </c>
      <c r="D98" s="27">
        <v>45235</v>
      </c>
      <c r="E98" s="4" t="s">
        <v>29</v>
      </c>
      <c r="F98" s="4" t="s">
        <v>21</v>
      </c>
      <c r="G98" s="4" t="s">
        <v>298</v>
      </c>
      <c r="H98" s="4" t="s">
        <v>31</v>
      </c>
      <c r="I98" s="4">
        <v>3</v>
      </c>
      <c r="J98" s="4" t="s">
        <v>71</v>
      </c>
      <c r="K98" s="4">
        <v>72</v>
      </c>
      <c r="L98" s="4">
        <v>10</v>
      </c>
      <c r="M98" s="4" t="s">
        <v>25</v>
      </c>
      <c r="N98" s="28">
        <v>0.381799662498992</v>
      </c>
      <c r="O98" s="4" t="s">
        <v>26</v>
      </c>
      <c r="P98" s="4">
        <v>720</v>
      </c>
      <c r="Q98" s="4">
        <v>445</v>
      </c>
      <c r="R98" s="4">
        <v>24</v>
      </c>
    </row>
    <row r="99" spans="1:18">
      <c r="A99" s="4" t="s">
        <v>299</v>
      </c>
      <c r="B99" s="4" t="s">
        <v>291</v>
      </c>
      <c r="C99" s="4" t="s">
        <v>84</v>
      </c>
      <c r="D99" s="27">
        <v>45238</v>
      </c>
      <c r="E99" s="4" t="s">
        <v>20</v>
      </c>
      <c r="F99" s="4" t="s">
        <v>21</v>
      </c>
      <c r="G99" s="4" t="s">
        <v>300</v>
      </c>
      <c r="H99" s="4" t="s">
        <v>40</v>
      </c>
      <c r="I99" s="4">
        <v>4</v>
      </c>
      <c r="J99" s="4" t="s">
        <v>132</v>
      </c>
      <c r="K99" s="4">
        <v>65</v>
      </c>
      <c r="L99" s="4">
        <v>5</v>
      </c>
      <c r="M99" s="4" t="s">
        <v>33</v>
      </c>
      <c r="N99" s="28">
        <v>0.00484359148368008</v>
      </c>
      <c r="O99" s="4" t="s">
        <v>34</v>
      </c>
      <c r="P99" s="4">
        <v>325</v>
      </c>
      <c r="Q99" s="4">
        <v>323</v>
      </c>
      <c r="R99" s="4">
        <v>23</v>
      </c>
    </row>
    <row r="100" spans="1:18">
      <c r="A100" s="4" t="s">
        <v>301</v>
      </c>
      <c r="B100" s="4" t="s">
        <v>293</v>
      </c>
      <c r="C100" s="4" t="s">
        <v>118</v>
      </c>
      <c r="D100" s="27">
        <v>45239</v>
      </c>
      <c r="E100" s="4" t="s">
        <v>29</v>
      </c>
      <c r="F100" s="4" t="s">
        <v>21</v>
      </c>
      <c r="G100" s="4" t="s">
        <v>302</v>
      </c>
      <c r="H100" s="4" t="s">
        <v>23</v>
      </c>
      <c r="I100" s="4">
        <v>8</v>
      </c>
      <c r="J100" s="4" t="s">
        <v>136</v>
      </c>
      <c r="K100" s="4">
        <v>250</v>
      </c>
      <c r="L100" s="4">
        <v>2</v>
      </c>
      <c r="M100" s="4" t="s">
        <v>25</v>
      </c>
      <c r="N100" s="28">
        <v>0.638575847143732</v>
      </c>
      <c r="O100" s="4" t="s">
        <v>42</v>
      </c>
      <c r="P100" s="4">
        <v>500</v>
      </c>
      <c r="Q100" s="4">
        <v>181</v>
      </c>
      <c r="R100" s="4">
        <v>118</v>
      </c>
    </row>
    <row r="101" spans="1:18">
      <c r="A101" s="4" t="s">
        <v>303</v>
      </c>
      <c r="B101" s="4" t="s">
        <v>295</v>
      </c>
      <c r="C101" s="4" t="s">
        <v>139</v>
      </c>
      <c r="D101" s="27">
        <v>45231</v>
      </c>
      <c r="E101" s="4" t="s">
        <v>29</v>
      </c>
      <c r="F101" s="4" t="s">
        <v>21</v>
      </c>
      <c r="G101" s="4" t="s">
        <v>304</v>
      </c>
      <c r="H101" s="4" t="s">
        <v>23</v>
      </c>
      <c r="I101" s="4">
        <v>6</v>
      </c>
      <c r="J101" s="4" t="s">
        <v>141</v>
      </c>
      <c r="K101" s="4">
        <v>130</v>
      </c>
      <c r="L101" s="4">
        <v>7</v>
      </c>
      <c r="M101" s="4" t="s">
        <v>33</v>
      </c>
      <c r="N101" s="28">
        <v>0.925447719315617</v>
      </c>
      <c r="O101" s="4" t="s">
        <v>47</v>
      </c>
      <c r="P101" s="4">
        <v>910</v>
      </c>
      <c r="Q101" s="4">
        <v>68</v>
      </c>
      <c r="R101" s="4">
        <v>81</v>
      </c>
    </row>
    <row r="102" spans="1:18">
      <c r="A102" s="4" t="s">
        <v>305</v>
      </c>
      <c r="B102" s="4" t="s">
        <v>297</v>
      </c>
      <c r="C102" s="4" t="s">
        <v>49</v>
      </c>
      <c r="D102" s="27">
        <v>45236</v>
      </c>
      <c r="E102" s="4" t="s">
        <v>20</v>
      </c>
      <c r="F102" s="4" t="s">
        <v>21</v>
      </c>
      <c r="G102" s="4" t="s">
        <v>306</v>
      </c>
      <c r="H102" s="4" t="s">
        <v>23</v>
      </c>
      <c r="I102" s="4">
        <v>10</v>
      </c>
      <c r="J102" s="4" t="s">
        <v>24</v>
      </c>
      <c r="K102" s="4">
        <v>60</v>
      </c>
      <c r="L102" s="4">
        <v>10</v>
      </c>
      <c r="M102" s="4" t="s">
        <v>25</v>
      </c>
      <c r="N102" s="28">
        <v>0.0490693531380294</v>
      </c>
      <c r="O102" s="4" t="s">
        <v>68</v>
      </c>
      <c r="P102" s="4">
        <v>600</v>
      </c>
      <c r="Q102" s="4">
        <v>571</v>
      </c>
      <c r="R102" s="4">
        <v>28</v>
      </c>
    </row>
    <row r="103" spans="1:18">
      <c r="A103" s="4" t="s">
        <v>307</v>
      </c>
      <c r="B103" s="4" t="s">
        <v>299</v>
      </c>
      <c r="C103" s="4" t="s">
        <v>91</v>
      </c>
      <c r="D103" s="27">
        <v>45236</v>
      </c>
      <c r="E103" s="4" t="s">
        <v>29</v>
      </c>
      <c r="F103" s="4" t="s">
        <v>21</v>
      </c>
      <c r="G103" s="4" t="s">
        <v>308</v>
      </c>
      <c r="H103" s="4" t="s">
        <v>31</v>
      </c>
      <c r="I103" s="4">
        <v>9</v>
      </c>
      <c r="J103" s="4" t="s">
        <v>32</v>
      </c>
      <c r="K103" s="4">
        <v>72</v>
      </c>
      <c r="L103" s="4">
        <v>11</v>
      </c>
      <c r="M103" s="4" t="s">
        <v>33</v>
      </c>
      <c r="N103" s="28">
        <v>0.78757795549188</v>
      </c>
      <c r="O103" s="4" t="s">
        <v>26</v>
      </c>
      <c r="P103" s="4">
        <v>792</v>
      </c>
      <c r="Q103" s="4">
        <v>168</v>
      </c>
      <c r="R103" s="4">
        <v>29</v>
      </c>
    </row>
    <row r="104" spans="1:18">
      <c r="A104" s="4" t="s">
        <v>309</v>
      </c>
      <c r="B104" s="4" t="s">
        <v>301</v>
      </c>
      <c r="C104" s="4" t="s">
        <v>146</v>
      </c>
      <c r="D104" s="27">
        <v>45239</v>
      </c>
      <c r="E104" s="4" t="s">
        <v>20</v>
      </c>
      <c r="F104" s="4" t="s">
        <v>21</v>
      </c>
      <c r="G104" s="4" t="s">
        <v>310</v>
      </c>
      <c r="H104" s="4" t="s">
        <v>40</v>
      </c>
      <c r="I104" s="4">
        <v>7</v>
      </c>
      <c r="J104" s="4" t="s">
        <v>86</v>
      </c>
      <c r="K104" s="4">
        <v>65</v>
      </c>
      <c r="L104" s="4">
        <v>13</v>
      </c>
      <c r="M104" s="4" t="s">
        <v>25</v>
      </c>
      <c r="N104" s="28">
        <v>0.446860387806741</v>
      </c>
      <c r="O104" s="4" t="s">
        <v>34</v>
      </c>
      <c r="P104" s="4">
        <v>845</v>
      </c>
      <c r="Q104" s="4">
        <v>467</v>
      </c>
      <c r="R104" s="4">
        <v>19</v>
      </c>
    </row>
    <row r="105" spans="1:18">
      <c r="A105" s="4" t="s">
        <v>311</v>
      </c>
      <c r="B105" s="4" t="s">
        <v>303</v>
      </c>
      <c r="C105" s="4" t="s">
        <v>149</v>
      </c>
      <c r="D105" s="27">
        <v>45256</v>
      </c>
      <c r="E105" s="4" t="s">
        <v>29</v>
      </c>
      <c r="F105" s="4" t="s">
        <v>21</v>
      </c>
      <c r="G105" s="4" t="s">
        <v>312</v>
      </c>
      <c r="H105" s="4" t="s">
        <v>23</v>
      </c>
      <c r="I105" s="4">
        <v>7</v>
      </c>
      <c r="J105" s="4" t="s">
        <v>89</v>
      </c>
      <c r="K105" s="4">
        <v>250</v>
      </c>
      <c r="L105" s="4">
        <v>2</v>
      </c>
      <c r="M105" s="4" t="s">
        <v>33</v>
      </c>
      <c r="N105" s="28">
        <v>0.89674363393446</v>
      </c>
      <c r="O105" s="4" t="s">
        <v>42</v>
      </c>
      <c r="P105" s="4">
        <v>500</v>
      </c>
      <c r="Q105" s="4">
        <v>52</v>
      </c>
      <c r="R105" s="4">
        <v>128</v>
      </c>
    </row>
    <row r="106" spans="1:18">
      <c r="A106" s="4" t="s">
        <v>313</v>
      </c>
      <c r="B106" s="4" t="s">
        <v>305</v>
      </c>
      <c r="C106" s="4" t="s">
        <v>171</v>
      </c>
      <c r="D106" s="27">
        <v>45232</v>
      </c>
      <c r="E106" s="4" t="s">
        <v>20</v>
      </c>
      <c r="F106" s="4" t="s">
        <v>21</v>
      </c>
      <c r="G106" s="4" t="s">
        <v>314</v>
      </c>
      <c r="H106" s="4" t="s">
        <v>31</v>
      </c>
      <c r="I106" s="4">
        <v>7</v>
      </c>
      <c r="J106" s="4" t="s">
        <v>93</v>
      </c>
      <c r="K106" s="4">
        <v>130</v>
      </c>
      <c r="L106" s="4">
        <v>6</v>
      </c>
      <c r="M106" s="4" t="s">
        <v>25</v>
      </c>
      <c r="N106" s="28">
        <v>0.0323733425586068</v>
      </c>
      <c r="O106" s="4" t="s">
        <v>47</v>
      </c>
      <c r="P106" s="4">
        <v>780</v>
      </c>
      <c r="Q106" s="4">
        <v>755</v>
      </c>
      <c r="R106" s="4">
        <v>53</v>
      </c>
    </row>
    <row r="107" spans="1:18">
      <c r="A107" s="4" t="s">
        <v>315</v>
      </c>
      <c r="B107" s="4" t="s">
        <v>307</v>
      </c>
      <c r="C107" s="4" t="s">
        <v>316</v>
      </c>
      <c r="D107" s="27">
        <v>45238</v>
      </c>
      <c r="E107" s="4" t="s">
        <v>29</v>
      </c>
      <c r="F107" s="4" t="s">
        <v>21</v>
      </c>
      <c r="G107" s="4" t="s">
        <v>317</v>
      </c>
      <c r="H107" s="4" t="s">
        <v>40</v>
      </c>
      <c r="I107" s="4">
        <v>7</v>
      </c>
      <c r="J107" s="4" t="s">
        <v>96</v>
      </c>
      <c r="K107" s="4">
        <v>72</v>
      </c>
      <c r="L107" s="4">
        <v>11</v>
      </c>
      <c r="M107" s="4" t="s">
        <v>33</v>
      </c>
      <c r="N107" s="28">
        <v>0.942472001521382</v>
      </c>
      <c r="O107" s="4" t="s">
        <v>26</v>
      </c>
      <c r="P107" s="4">
        <v>792</v>
      </c>
      <c r="Q107" s="4">
        <v>46</v>
      </c>
      <c r="R107" s="4">
        <v>32</v>
      </c>
    </row>
    <row r="108" spans="1:18">
      <c r="A108" s="4" t="s">
        <v>318</v>
      </c>
      <c r="B108" s="4" t="s">
        <v>309</v>
      </c>
      <c r="C108" s="4" t="s">
        <v>176</v>
      </c>
      <c r="D108" s="27">
        <v>45231</v>
      </c>
      <c r="E108" s="4" t="s">
        <v>37</v>
      </c>
      <c r="F108" s="4" t="s">
        <v>21</v>
      </c>
      <c r="G108" s="4" t="s">
        <v>319</v>
      </c>
      <c r="H108" s="4" t="s">
        <v>23</v>
      </c>
      <c r="I108" s="4">
        <v>8</v>
      </c>
      <c r="J108" s="4" t="s">
        <v>58</v>
      </c>
      <c r="K108" s="4">
        <v>65</v>
      </c>
      <c r="L108" s="4">
        <v>7</v>
      </c>
      <c r="M108" s="4" t="s">
        <v>25</v>
      </c>
      <c r="N108" s="28">
        <v>0.248636806790805</v>
      </c>
      <c r="O108" s="4" t="s">
        <v>34</v>
      </c>
      <c r="P108" s="4">
        <v>455</v>
      </c>
      <c r="Q108" s="4">
        <v>342</v>
      </c>
      <c r="R108" s="4">
        <v>25</v>
      </c>
    </row>
    <row r="109" spans="1:18">
      <c r="A109" s="4" t="s">
        <v>320</v>
      </c>
      <c r="B109" s="4" t="s">
        <v>311</v>
      </c>
      <c r="C109" s="4" t="s">
        <v>179</v>
      </c>
      <c r="D109" s="27">
        <v>45251</v>
      </c>
      <c r="E109" s="4" t="s">
        <v>20</v>
      </c>
      <c r="F109" s="4" t="s">
        <v>21</v>
      </c>
      <c r="G109" s="4" t="s">
        <v>321</v>
      </c>
      <c r="H109" s="4" t="s">
        <v>31</v>
      </c>
      <c r="I109" s="4">
        <v>10</v>
      </c>
      <c r="J109" s="4" t="s">
        <v>63</v>
      </c>
      <c r="K109" s="4">
        <v>250</v>
      </c>
      <c r="L109" s="4">
        <v>1</v>
      </c>
      <c r="M109" s="4" t="s">
        <v>33</v>
      </c>
      <c r="N109" s="28">
        <v>0.0498965210564023</v>
      </c>
      <c r="O109" s="4" t="s">
        <v>42</v>
      </c>
      <c r="P109" s="4">
        <v>250</v>
      </c>
      <c r="Q109" s="4">
        <v>238</v>
      </c>
      <c r="R109" s="4">
        <v>125</v>
      </c>
    </row>
    <row r="110" spans="1:18">
      <c r="A110" s="4" t="s">
        <v>322</v>
      </c>
      <c r="B110" s="4" t="s">
        <v>313</v>
      </c>
      <c r="C110" s="4" t="s">
        <v>182</v>
      </c>
      <c r="D110" s="27">
        <v>45241</v>
      </c>
      <c r="E110" s="4" t="s">
        <v>29</v>
      </c>
      <c r="F110" s="4" t="s">
        <v>21</v>
      </c>
      <c r="G110" s="4" t="s">
        <v>323</v>
      </c>
      <c r="H110" s="4" t="s">
        <v>40</v>
      </c>
      <c r="I110" s="4">
        <v>10</v>
      </c>
      <c r="J110" s="4" t="s">
        <v>67</v>
      </c>
      <c r="K110" s="4">
        <v>130</v>
      </c>
      <c r="L110" s="4">
        <v>7</v>
      </c>
      <c r="M110" s="4" t="s">
        <v>25</v>
      </c>
      <c r="N110" s="28">
        <v>0.496183401882766</v>
      </c>
      <c r="O110" s="4" t="s">
        <v>47</v>
      </c>
      <c r="P110" s="4">
        <v>910</v>
      </c>
      <c r="Q110" s="4">
        <v>458</v>
      </c>
      <c r="R110" s="4">
        <v>66</v>
      </c>
    </row>
    <row r="111" spans="1:18">
      <c r="A111" s="4" t="s">
        <v>324</v>
      </c>
      <c r="B111" s="4" t="s">
        <v>315</v>
      </c>
      <c r="C111" s="4" t="s">
        <v>185</v>
      </c>
      <c r="D111" s="27">
        <v>45231</v>
      </c>
      <c r="E111" s="4" t="s">
        <v>29</v>
      </c>
      <c r="F111" s="4" t="s">
        <v>21</v>
      </c>
      <c r="G111" s="4" t="s">
        <v>325</v>
      </c>
      <c r="H111" s="4" t="s">
        <v>23</v>
      </c>
      <c r="I111" s="4">
        <v>10</v>
      </c>
      <c r="J111" s="4" t="s">
        <v>103</v>
      </c>
      <c r="K111" s="4">
        <v>60</v>
      </c>
      <c r="L111" s="4">
        <v>13</v>
      </c>
      <c r="M111" s="4" t="s">
        <v>25</v>
      </c>
      <c r="N111" s="28">
        <v>0.628896215924117</v>
      </c>
      <c r="O111" s="4" t="s">
        <v>68</v>
      </c>
      <c r="P111" s="4">
        <v>780</v>
      </c>
      <c r="Q111" s="4">
        <v>289</v>
      </c>
      <c r="R111" s="4">
        <v>28</v>
      </c>
    </row>
    <row r="112" spans="1:18">
      <c r="A112" s="4" t="s">
        <v>326</v>
      </c>
      <c r="B112" s="4" t="s">
        <v>318</v>
      </c>
      <c r="C112" s="4" t="s">
        <v>188</v>
      </c>
      <c r="D112" s="27">
        <v>45239</v>
      </c>
      <c r="E112" s="4" t="s">
        <v>20</v>
      </c>
      <c r="F112" s="4" t="s">
        <v>21</v>
      </c>
      <c r="G112" s="4" t="s">
        <v>327</v>
      </c>
      <c r="H112" s="4" t="s">
        <v>31</v>
      </c>
      <c r="I112" s="4">
        <v>10</v>
      </c>
      <c r="J112" s="4" t="s">
        <v>108</v>
      </c>
      <c r="K112" s="4">
        <v>95</v>
      </c>
      <c r="L112" s="4">
        <v>8</v>
      </c>
      <c r="M112" s="4" t="s">
        <v>33</v>
      </c>
      <c r="N112" s="28">
        <v>0.875804906379297</v>
      </c>
      <c r="O112" s="4" t="s">
        <v>104</v>
      </c>
      <c r="P112" s="4">
        <v>760</v>
      </c>
      <c r="Q112" s="4">
        <v>94</v>
      </c>
      <c r="R112" s="4">
        <v>53</v>
      </c>
    </row>
    <row r="113" spans="1:18">
      <c r="A113" s="4" t="s">
        <v>328</v>
      </c>
      <c r="B113" s="4" t="s">
        <v>320</v>
      </c>
      <c r="C113" s="4"/>
      <c r="D113" s="27">
        <v>45234</v>
      </c>
      <c r="E113" s="4" t="s">
        <v>29</v>
      </c>
      <c r="F113" s="4" t="s">
        <v>21</v>
      </c>
      <c r="G113" s="4" t="s">
        <v>329</v>
      </c>
      <c r="H113" s="4" t="s">
        <v>40</v>
      </c>
      <c r="I113" s="4">
        <v>8</v>
      </c>
      <c r="J113" s="4" t="s">
        <v>112</v>
      </c>
      <c r="K113" s="4">
        <v>72</v>
      </c>
      <c r="L113" s="4">
        <v>11</v>
      </c>
      <c r="M113" s="4" t="s">
        <v>33</v>
      </c>
      <c r="N113" s="28">
        <v>0.370698541260933</v>
      </c>
      <c r="O113" s="4" t="s">
        <v>26</v>
      </c>
      <c r="P113" s="4">
        <v>792</v>
      </c>
      <c r="Q113" s="4">
        <v>498</v>
      </c>
      <c r="R113" s="4">
        <v>18</v>
      </c>
    </row>
    <row r="114" spans="1:18">
      <c r="A114" s="4" t="s">
        <v>330</v>
      </c>
      <c r="B114" s="4" t="s">
        <v>322</v>
      </c>
      <c r="C114" s="4" t="s">
        <v>114</v>
      </c>
      <c r="D114" s="27">
        <v>45245</v>
      </c>
      <c r="E114" s="4" t="s">
        <v>20</v>
      </c>
      <c r="F114" s="4" t="s">
        <v>21</v>
      </c>
      <c r="G114" s="4" t="s">
        <v>331</v>
      </c>
      <c r="H114" s="4" t="s">
        <v>23</v>
      </c>
      <c r="I114" s="4">
        <v>7</v>
      </c>
      <c r="J114" s="4" t="s">
        <v>116</v>
      </c>
      <c r="K114" s="4">
        <v>65</v>
      </c>
      <c r="L114" s="4">
        <v>10</v>
      </c>
      <c r="M114" s="4" t="s">
        <v>33</v>
      </c>
      <c r="N114" s="28">
        <v>0.644226020742862</v>
      </c>
      <c r="O114" s="4" t="s">
        <v>34</v>
      </c>
      <c r="P114" s="4">
        <v>650</v>
      </c>
      <c r="Q114" s="4">
        <v>231</v>
      </c>
      <c r="R114" s="4">
        <v>29</v>
      </c>
    </row>
    <row r="115" spans="1:18">
      <c r="A115" s="4" t="s">
        <v>332</v>
      </c>
      <c r="B115" s="4" t="s">
        <v>324</v>
      </c>
      <c r="C115" s="4" t="s">
        <v>118</v>
      </c>
      <c r="D115" s="27">
        <v>45239</v>
      </c>
      <c r="E115" s="4" t="s">
        <v>29</v>
      </c>
      <c r="F115" s="4" t="s">
        <v>21</v>
      </c>
      <c r="G115" s="4" t="s">
        <v>333</v>
      </c>
      <c r="H115" s="4" t="s">
        <v>31</v>
      </c>
      <c r="I115" s="4">
        <v>7</v>
      </c>
      <c r="J115" s="4" t="s">
        <v>120</v>
      </c>
      <c r="K115" s="4">
        <v>250</v>
      </c>
      <c r="L115" s="4">
        <v>2</v>
      </c>
      <c r="M115" s="4" t="s">
        <v>25</v>
      </c>
      <c r="N115" s="28">
        <v>0.766527075431938</v>
      </c>
      <c r="O115" s="4" t="s">
        <v>42</v>
      </c>
      <c r="P115" s="4">
        <v>500</v>
      </c>
      <c r="Q115" s="4">
        <v>117</v>
      </c>
      <c r="R115" s="4">
        <v>85</v>
      </c>
    </row>
    <row r="116" spans="1:18">
      <c r="A116" s="4" t="s">
        <v>334</v>
      </c>
      <c r="B116" s="4" t="s">
        <v>326</v>
      </c>
      <c r="C116" s="4" t="s">
        <v>122</v>
      </c>
      <c r="D116" s="27">
        <v>45236</v>
      </c>
      <c r="E116" s="4" t="s">
        <v>29</v>
      </c>
      <c r="F116" s="4" t="s">
        <v>21</v>
      </c>
      <c r="G116" s="4" t="s">
        <v>335</v>
      </c>
      <c r="H116" s="4" t="s">
        <v>40</v>
      </c>
      <c r="I116" s="4">
        <v>9</v>
      </c>
      <c r="J116" s="4" t="s">
        <v>124</v>
      </c>
      <c r="K116" s="4">
        <v>130</v>
      </c>
      <c r="L116" s="4">
        <v>2</v>
      </c>
      <c r="M116" s="4" t="s">
        <v>25</v>
      </c>
      <c r="N116" s="28">
        <v>0.744163298299545</v>
      </c>
      <c r="O116" s="4" t="s">
        <v>47</v>
      </c>
      <c r="P116" s="4">
        <v>260</v>
      </c>
      <c r="Q116" s="4">
        <v>67</v>
      </c>
      <c r="R116" s="4">
        <v>64</v>
      </c>
    </row>
    <row r="117" spans="1:18">
      <c r="A117" s="4" t="s">
        <v>336</v>
      </c>
      <c r="B117" s="4" t="s">
        <v>328</v>
      </c>
      <c r="C117" s="4" t="s">
        <v>73</v>
      </c>
      <c r="D117" s="27">
        <v>45253</v>
      </c>
      <c r="E117" s="4" t="s">
        <v>20</v>
      </c>
      <c r="F117" s="4" t="s">
        <v>21</v>
      </c>
      <c r="G117" s="4" t="s">
        <v>337</v>
      </c>
      <c r="H117" s="4" t="s">
        <v>23</v>
      </c>
      <c r="I117" s="4">
        <v>8</v>
      </c>
      <c r="J117" s="4" t="s">
        <v>128</v>
      </c>
      <c r="K117" s="4">
        <v>72</v>
      </c>
      <c r="L117" s="4">
        <v>8</v>
      </c>
      <c r="M117" s="4" t="s">
        <v>25</v>
      </c>
      <c r="N117" s="28">
        <v>0.484840322923332</v>
      </c>
      <c r="O117" s="4" t="s">
        <v>26</v>
      </c>
      <c r="P117" s="4">
        <v>576</v>
      </c>
      <c r="Q117" s="4">
        <v>297</v>
      </c>
      <c r="R117" s="4">
        <v>32</v>
      </c>
    </row>
    <row r="118" spans="1:18">
      <c r="A118" s="4" t="s">
        <v>338</v>
      </c>
      <c r="B118" s="4" t="s">
        <v>330</v>
      </c>
      <c r="C118" s="4" t="s">
        <v>130</v>
      </c>
      <c r="D118" s="27">
        <v>45259</v>
      </c>
      <c r="E118" s="4" t="s">
        <v>29</v>
      </c>
      <c r="F118" s="4" t="s">
        <v>38</v>
      </c>
      <c r="G118" s="4" t="s">
        <v>339</v>
      </c>
      <c r="H118" s="4" t="s">
        <v>31</v>
      </c>
      <c r="I118" s="4">
        <v>8</v>
      </c>
      <c r="J118" s="4" t="s">
        <v>63</v>
      </c>
      <c r="K118" s="4">
        <v>65</v>
      </c>
      <c r="L118" s="4">
        <v>8</v>
      </c>
      <c r="M118" s="4" t="s">
        <v>25</v>
      </c>
      <c r="N118" s="28">
        <v>0.10556900790049</v>
      </c>
      <c r="O118" s="4" t="s">
        <v>34</v>
      </c>
      <c r="P118" s="4">
        <v>520</v>
      </c>
      <c r="Q118" s="4">
        <v>465</v>
      </c>
      <c r="R118" s="4">
        <v>29</v>
      </c>
    </row>
    <row r="119" spans="1:18">
      <c r="A119" s="4" t="s">
        <v>340</v>
      </c>
      <c r="B119" s="4" t="s">
        <v>332</v>
      </c>
      <c r="C119" s="4" t="s">
        <v>134</v>
      </c>
      <c r="D119" s="27">
        <v>45232</v>
      </c>
      <c r="E119" s="4" t="s">
        <v>29</v>
      </c>
      <c r="F119" s="4" t="s">
        <v>21</v>
      </c>
      <c r="G119" s="4" t="s">
        <v>341</v>
      </c>
      <c r="H119" s="4" t="s">
        <v>40</v>
      </c>
      <c r="I119" s="4">
        <v>7</v>
      </c>
      <c r="J119" s="4" t="s">
        <v>67</v>
      </c>
      <c r="K119" s="4">
        <v>250</v>
      </c>
      <c r="L119" s="4">
        <v>1</v>
      </c>
      <c r="M119" s="4" t="s">
        <v>25</v>
      </c>
      <c r="N119" s="28">
        <v>0.356813273523988</v>
      </c>
      <c r="O119" s="4" t="s">
        <v>42</v>
      </c>
      <c r="P119" s="4">
        <v>250</v>
      </c>
      <c r="Q119" s="4">
        <v>161</v>
      </c>
      <c r="R119" s="4">
        <v>105</v>
      </c>
    </row>
    <row r="120" spans="1:18">
      <c r="A120" s="4" t="s">
        <v>342</v>
      </c>
      <c r="B120" s="4" t="s">
        <v>334</v>
      </c>
      <c r="C120" s="4" t="s">
        <v>139</v>
      </c>
      <c r="D120" s="27">
        <v>45248</v>
      </c>
      <c r="E120" s="4" t="s">
        <v>20</v>
      </c>
      <c r="F120" s="4" t="s">
        <v>21</v>
      </c>
      <c r="G120" s="4" t="s">
        <v>343</v>
      </c>
      <c r="H120" s="4" t="s">
        <v>23</v>
      </c>
      <c r="I120" s="4">
        <v>8</v>
      </c>
      <c r="J120" s="4" t="s">
        <v>71</v>
      </c>
      <c r="K120" s="4">
        <v>130</v>
      </c>
      <c r="L120" s="4">
        <v>2</v>
      </c>
      <c r="M120" s="4" t="s">
        <v>25</v>
      </c>
      <c r="N120" s="28">
        <v>0.389661552471671</v>
      </c>
      <c r="O120" s="4" t="s">
        <v>47</v>
      </c>
      <c r="P120" s="4">
        <v>260</v>
      </c>
      <c r="Q120" s="4">
        <v>159</v>
      </c>
      <c r="R120" s="4">
        <v>83</v>
      </c>
    </row>
    <row r="121" spans="1:18">
      <c r="A121" s="4" t="s">
        <v>344</v>
      </c>
      <c r="B121" s="4" t="s">
        <v>336</v>
      </c>
      <c r="C121" s="4" t="s">
        <v>143</v>
      </c>
      <c r="D121" s="27">
        <v>45248</v>
      </c>
      <c r="E121" s="4" t="s">
        <v>29</v>
      </c>
      <c r="F121" s="4" t="s">
        <v>21</v>
      </c>
      <c r="G121" s="4" t="s">
        <v>345</v>
      </c>
      <c r="H121" s="4" t="s">
        <v>31</v>
      </c>
      <c r="I121" s="4">
        <v>8</v>
      </c>
      <c r="J121" s="4" t="s">
        <v>24</v>
      </c>
      <c r="K121" s="4">
        <v>60</v>
      </c>
      <c r="L121" s="4">
        <v>6</v>
      </c>
      <c r="M121" s="4" t="s">
        <v>25</v>
      </c>
      <c r="N121" s="28">
        <v>0.273427998548095</v>
      </c>
      <c r="O121" s="4" t="s">
        <v>68</v>
      </c>
      <c r="P121" s="4">
        <v>360</v>
      </c>
      <c r="Q121" s="4">
        <v>262</v>
      </c>
      <c r="R121" s="4">
        <v>31</v>
      </c>
    </row>
    <row r="122" spans="1:18">
      <c r="A122" s="4" t="s">
        <v>346</v>
      </c>
      <c r="B122" s="4" t="s">
        <v>338</v>
      </c>
      <c r="C122" s="4" t="s">
        <v>146</v>
      </c>
      <c r="D122" s="27">
        <v>45257</v>
      </c>
      <c r="E122" s="4" t="s">
        <v>20</v>
      </c>
      <c r="F122" s="4" t="s">
        <v>21</v>
      </c>
      <c r="G122" s="4" t="s">
        <v>347</v>
      </c>
      <c r="H122" s="4" t="s">
        <v>40</v>
      </c>
      <c r="I122" s="4">
        <v>9</v>
      </c>
      <c r="J122" s="4" t="s">
        <v>32</v>
      </c>
      <c r="K122" s="4">
        <v>72</v>
      </c>
      <c r="L122" s="4">
        <v>11</v>
      </c>
      <c r="M122" s="4" t="s">
        <v>25</v>
      </c>
      <c r="N122" s="28">
        <v>0.68404340685026</v>
      </c>
      <c r="O122" s="4" t="s">
        <v>26</v>
      </c>
      <c r="P122" s="4">
        <v>792</v>
      </c>
      <c r="Q122" s="4">
        <v>250</v>
      </c>
      <c r="R122" s="4">
        <v>22</v>
      </c>
    </row>
    <row r="123" spans="1:18">
      <c r="A123" s="4" t="s">
        <v>348</v>
      </c>
      <c r="B123" s="4" t="s">
        <v>340</v>
      </c>
      <c r="C123" s="4" t="s">
        <v>149</v>
      </c>
      <c r="D123" s="27">
        <v>45257</v>
      </c>
      <c r="E123" s="4" t="s">
        <v>29</v>
      </c>
      <c r="F123" s="4" t="s">
        <v>21</v>
      </c>
      <c r="G123" s="4" t="s">
        <v>349</v>
      </c>
      <c r="H123" s="4" t="s">
        <v>23</v>
      </c>
      <c r="I123" s="4">
        <v>9</v>
      </c>
      <c r="J123" s="4" t="s">
        <v>41</v>
      </c>
      <c r="K123" s="4">
        <v>65</v>
      </c>
      <c r="L123" s="4">
        <v>4</v>
      </c>
      <c r="M123" s="4" t="s">
        <v>25</v>
      </c>
      <c r="N123" s="28">
        <v>0.305116714751597</v>
      </c>
      <c r="O123" s="4" t="s">
        <v>34</v>
      </c>
      <c r="P123" s="4">
        <v>260</v>
      </c>
      <c r="Q123" s="4">
        <v>181</v>
      </c>
      <c r="R123" s="4">
        <v>33</v>
      </c>
    </row>
    <row r="124" spans="1:18">
      <c r="A124" s="4" t="s">
        <v>350</v>
      </c>
      <c r="B124" s="4" t="s">
        <v>342</v>
      </c>
      <c r="C124" s="4" t="s">
        <v>203</v>
      </c>
      <c r="D124" s="27">
        <v>45243</v>
      </c>
      <c r="E124" s="4" t="s">
        <v>20</v>
      </c>
      <c r="F124" s="4" t="s">
        <v>38</v>
      </c>
      <c r="G124" s="4" t="s">
        <v>351</v>
      </c>
      <c r="H124" s="4" t="s">
        <v>31</v>
      </c>
      <c r="I124" s="4">
        <v>8</v>
      </c>
      <c r="J124" s="4" t="s">
        <v>46</v>
      </c>
      <c r="K124" s="4">
        <v>250</v>
      </c>
      <c r="L124" s="4">
        <v>3</v>
      </c>
      <c r="M124" s="4" t="s">
        <v>33</v>
      </c>
      <c r="N124" s="28">
        <v>0.266346831825114</v>
      </c>
      <c r="O124" s="4" t="s">
        <v>42</v>
      </c>
      <c r="P124" s="4">
        <v>750</v>
      </c>
      <c r="Q124" s="4">
        <v>550</v>
      </c>
      <c r="R124" s="4">
        <v>98</v>
      </c>
    </row>
    <row r="125" spans="1:18">
      <c r="A125" s="4" t="s">
        <v>352</v>
      </c>
      <c r="B125" s="4" t="s">
        <v>344</v>
      </c>
      <c r="C125" s="4" t="s">
        <v>28</v>
      </c>
      <c r="D125" s="27">
        <v>45234</v>
      </c>
      <c r="E125" s="4" t="s">
        <v>29</v>
      </c>
      <c r="F125" s="4" t="s">
        <v>21</v>
      </c>
      <c r="G125" s="4" t="s">
        <v>353</v>
      </c>
      <c r="H125" s="4" t="s">
        <v>40</v>
      </c>
      <c r="I125" s="4">
        <v>8</v>
      </c>
      <c r="J125" s="4" t="s">
        <v>51</v>
      </c>
      <c r="K125" s="4">
        <v>130</v>
      </c>
      <c r="L125" s="4">
        <v>2</v>
      </c>
      <c r="M125" s="4" t="s">
        <v>25</v>
      </c>
      <c r="N125" s="28">
        <v>0.95598379426073</v>
      </c>
      <c r="O125" s="4" t="s">
        <v>47</v>
      </c>
      <c r="P125" s="4">
        <v>260</v>
      </c>
      <c r="Q125" s="4">
        <v>11</v>
      </c>
      <c r="R125" s="4">
        <v>52</v>
      </c>
    </row>
    <row r="126" spans="1:18">
      <c r="A126" s="4" t="s">
        <v>354</v>
      </c>
      <c r="B126" s="4" t="s">
        <v>346</v>
      </c>
      <c r="C126" s="4" t="s">
        <v>36</v>
      </c>
      <c r="D126" s="27">
        <v>45256</v>
      </c>
      <c r="E126" s="4" t="s">
        <v>37</v>
      </c>
      <c r="F126" s="4" t="s">
        <v>21</v>
      </c>
      <c r="G126" s="4" t="s">
        <v>355</v>
      </c>
      <c r="H126" s="4" t="s">
        <v>23</v>
      </c>
      <c r="I126" s="4">
        <v>7</v>
      </c>
      <c r="J126" s="4" t="s">
        <v>55</v>
      </c>
      <c r="K126" s="4">
        <v>72</v>
      </c>
      <c r="L126" s="4">
        <v>3</v>
      </c>
      <c r="M126" s="4" t="s">
        <v>25</v>
      </c>
      <c r="N126" s="28">
        <v>0.78465682989489</v>
      </c>
      <c r="O126" s="4" t="s">
        <v>26</v>
      </c>
      <c r="P126" s="4">
        <v>216</v>
      </c>
      <c r="Q126" s="4">
        <v>47</v>
      </c>
      <c r="R126" s="4">
        <v>40</v>
      </c>
    </row>
    <row r="127" spans="1:18">
      <c r="A127" s="4" t="s">
        <v>356</v>
      </c>
      <c r="B127" s="4" t="s">
        <v>348</v>
      </c>
      <c r="C127" s="4" t="s">
        <v>44</v>
      </c>
      <c r="D127" s="27">
        <v>45245</v>
      </c>
      <c r="E127" s="4" t="s">
        <v>20</v>
      </c>
      <c r="F127" s="4" t="s">
        <v>21</v>
      </c>
      <c r="G127" s="4" t="s">
        <v>357</v>
      </c>
      <c r="H127" s="4" t="s">
        <v>31</v>
      </c>
      <c r="I127" s="4">
        <v>8</v>
      </c>
      <c r="J127" s="4" t="s">
        <v>58</v>
      </c>
      <c r="K127" s="4">
        <v>65</v>
      </c>
      <c r="L127" s="4">
        <v>4</v>
      </c>
      <c r="M127" s="4" t="s">
        <v>25</v>
      </c>
      <c r="N127" s="28">
        <v>0.925316508266058</v>
      </c>
      <c r="O127" s="4" t="s">
        <v>34</v>
      </c>
      <c r="P127" s="4">
        <v>260</v>
      </c>
      <c r="Q127" s="4">
        <v>19</v>
      </c>
      <c r="R127" s="4">
        <v>42</v>
      </c>
    </row>
    <row r="128" spans="1:18">
      <c r="A128" s="4" t="s">
        <v>358</v>
      </c>
      <c r="B128" s="4" t="s">
        <v>350</v>
      </c>
      <c r="C128" s="4" t="s">
        <v>49</v>
      </c>
      <c r="D128" s="27">
        <v>45259</v>
      </c>
      <c r="E128" s="4" t="s">
        <v>29</v>
      </c>
      <c r="F128" s="4" t="s">
        <v>21</v>
      </c>
      <c r="G128" s="4" t="s">
        <v>359</v>
      </c>
      <c r="H128" s="4" t="s">
        <v>40</v>
      </c>
      <c r="I128" s="4">
        <v>9</v>
      </c>
      <c r="J128" s="4" t="s">
        <v>63</v>
      </c>
      <c r="K128" s="4">
        <v>250</v>
      </c>
      <c r="L128" s="4">
        <v>3</v>
      </c>
      <c r="M128" s="4" t="s">
        <v>25</v>
      </c>
      <c r="N128" s="28">
        <v>0.913149826929915</v>
      </c>
      <c r="O128" s="4" t="s">
        <v>42</v>
      </c>
      <c r="P128" s="4">
        <v>750</v>
      </c>
      <c r="Q128" s="4">
        <v>65</v>
      </c>
      <c r="R128" s="4">
        <v>108</v>
      </c>
    </row>
    <row r="129" spans="1:18">
      <c r="A129" s="4" t="s">
        <v>360</v>
      </c>
      <c r="B129" s="4" t="s">
        <v>352</v>
      </c>
      <c r="C129" s="4" t="s">
        <v>53</v>
      </c>
      <c r="D129" s="27">
        <v>45250</v>
      </c>
      <c r="E129" s="4" t="s">
        <v>29</v>
      </c>
      <c r="F129" s="4" t="s">
        <v>21</v>
      </c>
      <c r="G129" s="4" t="s">
        <v>361</v>
      </c>
      <c r="H129" s="4" t="s">
        <v>23</v>
      </c>
      <c r="I129" s="4">
        <v>7</v>
      </c>
      <c r="J129" s="4" t="s">
        <v>67</v>
      </c>
      <c r="K129" s="4">
        <v>130</v>
      </c>
      <c r="L129" s="4">
        <v>2</v>
      </c>
      <c r="M129" s="4" t="s">
        <v>25</v>
      </c>
      <c r="N129" s="28">
        <v>0.0845860933070302</v>
      </c>
      <c r="O129" s="4" t="s">
        <v>47</v>
      </c>
      <c r="P129" s="4">
        <v>260</v>
      </c>
      <c r="Q129" s="4">
        <v>238</v>
      </c>
      <c r="R129" s="4">
        <v>83</v>
      </c>
    </row>
    <row r="130" spans="1:18">
      <c r="A130" s="4" t="s">
        <v>362</v>
      </c>
      <c r="B130" s="4" t="s">
        <v>354</v>
      </c>
      <c r="C130" s="4" t="s">
        <v>61</v>
      </c>
      <c r="D130" s="27">
        <v>45233</v>
      </c>
      <c r="E130" s="4" t="s">
        <v>20</v>
      </c>
      <c r="F130" s="4" t="s">
        <v>21</v>
      </c>
      <c r="G130" s="4" t="s">
        <v>363</v>
      </c>
      <c r="H130" s="4" t="s">
        <v>31</v>
      </c>
      <c r="I130" s="4">
        <v>8</v>
      </c>
      <c r="J130" s="4" t="s">
        <v>71</v>
      </c>
      <c r="K130" s="4">
        <v>60</v>
      </c>
      <c r="L130" s="4">
        <v>7</v>
      </c>
      <c r="M130" s="4" t="s">
        <v>33</v>
      </c>
      <c r="N130" s="28">
        <v>0.929832202828375</v>
      </c>
      <c r="O130" s="4" t="s">
        <v>68</v>
      </c>
      <c r="P130" s="4">
        <v>420</v>
      </c>
      <c r="Q130" s="4">
        <v>29</v>
      </c>
      <c r="R130" s="4">
        <v>31</v>
      </c>
    </row>
    <row r="131" spans="1:18">
      <c r="A131" s="4" t="s">
        <v>364</v>
      </c>
      <c r="B131" s="4" t="s">
        <v>356</v>
      </c>
      <c r="C131" s="4" t="s">
        <v>61</v>
      </c>
      <c r="D131" s="27">
        <v>45234</v>
      </c>
      <c r="E131" s="4" t="s">
        <v>29</v>
      </c>
      <c r="F131" s="4" t="s">
        <v>21</v>
      </c>
      <c r="G131" s="4" t="s">
        <v>365</v>
      </c>
      <c r="H131" s="4" t="s">
        <v>40</v>
      </c>
      <c r="I131" s="4">
        <v>9</v>
      </c>
      <c r="J131" s="4" t="s">
        <v>75</v>
      </c>
      <c r="K131" s="4">
        <v>95</v>
      </c>
      <c r="L131" s="4">
        <v>6</v>
      </c>
      <c r="M131" s="4" t="s">
        <v>25</v>
      </c>
      <c r="N131" s="28">
        <v>0.130299607526676</v>
      </c>
      <c r="O131" s="4" t="s">
        <v>104</v>
      </c>
      <c r="P131" s="4">
        <v>570</v>
      </c>
      <c r="Q131" s="4">
        <v>496</v>
      </c>
      <c r="R131" s="4">
        <v>52</v>
      </c>
    </row>
    <row r="132" spans="1:18">
      <c r="A132" s="4" t="s">
        <v>366</v>
      </c>
      <c r="B132" s="4" t="s">
        <v>358</v>
      </c>
      <c r="C132" s="4" t="s">
        <v>65</v>
      </c>
      <c r="D132" s="27">
        <v>45238</v>
      </c>
      <c r="E132" s="4" t="s">
        <v>20</v>
      </c>
      <c r="F132" s="4" t="s">
        <v>21</v>
      </c>
      <c r="G132" s="4" t="s">
        <v>367</v>
      </c>
      <c r="H132" s="4" t="s">
        <v>23</v>
      </c>
      <c r="I132" s="4">
        <v>8</v>
      </c>
      <c r="J132" s="4" t="s">
        <v>79</v>
      </c>
      <c r="K132" s="4">
        <v>72</v>
      </c>
      <c r="L132" s="4">
        <v>6</v>
      </c>
      <c r="M132" s="4" t="s">
        <v>25</v>
      </c>
      <c r="N132" s="28">
        <v>0.414567282662002</v>
      </c>
      <c r="O132" s="4" t="s">
        <v>26</v>
      </c>
      <c r="P132" s="4">
        <v>432</v>
      </c>
      <c r="Q132" s="4">
        <v>253</v>
      </c>
      <c r="R132" s="4">
        <v>30</v>
      </c>
    </row>
    <row r="133" spans="1:18">
      <c r="A133" s="4" t="s">
        <v>368</v>
      </c>
      <c r="B133" s="4" t="s">
        <v>360</v>
      </c>
      <c r="C133" s="4" t="s">
        <v>53</v>
      </c>
      <c r="D133" s="27">
        <v>45251</v>
      </c>
      <c r="E133" s="4" t="s">
        <v>29</v>
      </c>
      <c r="F133" s="4" t="s">
        <v>21</v>
      </c>
      <c r="G133" s="4" t="s">
        <v>369</v>
      </c>
      <c r="H133" s="4" t="s">
        <v>31</v>
      </c>
      <c r="I133" s="4">
        <v>7</v>
      </c>
      <c r="J133" s="4" t="s">
        <v>82</v>
      </c>
      <c r="K133" s="4">
        <v>65</v>
      </c>
      <c r="L133" s="4">
        <v>8</v>
      </c>
      <c r="M133" s="4" t="s">
        <v>25</v>
      </c>
      <c r="N133" s="28">
        <v>0.779538078226579</v>
      </c>
      <c r="O133" s="4" t="s">
        <v>34</v>
      </c>
      <c r="P133" s="4">
        <v>520</v>
      </c>
      <c r="Q133" s="4">
        <v>115</v>
      </c>
      <c r="R133" s="4">
        <v>33</v>
      </c>
    </row>
    <row r="134" spans="1:18">
      <c r="A134" s="4" t="s">
        <v>370</v>
      </c>
      <c r="B134" s="4" t="s">
        <v>362</v>
      </c>
      <c r="C134" s="4" t="s">
        <v>73</v>
      </c>
      <c r="D134" s="27">
        <v>45251</v>
      </c>
      <c r="E134" s="4" t="s">
        <v>29</v>
      </c>
      <c r="F134" s="4" t="s">
        <v>21</v>
      </c>
      <c r="G134" s="4" t="s">
        <v>371</v>
      </c>
      <c r="H134" s="4" t="s">
        <v>40</v>
      </c>
      <c r="I134" s="4">
        <v>10</v>
      </c>
      <c r="J134" s="4" t="s">
        <v>86</v>
      </c>
      <c r="K134" s="4">
        <v>250</v>
      </c>
      <c r="L134" s="4">
        <v>3</v>
      </c>
      <c r="M134" s="4" t="s">
        <v>33</v>
      </c>
      <c r="N134" s="28">
        <v>0.566024933799433</v>
      </c>
      <c r="O134" s="4" t="s">
        <v>42</v>
      </c>
      <c r="P134" s="4">
        <v>750</v>
      </c>
      <c r="Q134" s="4">
        <v>325</v>
      </c>
      <c r="R134" s="4">
        <v>110</v>
      </c>
    </row>
    <row r="135" spans="1:18">
      <c r="A135" s="4" t="s">
        <v>372</v>
      </c>
      <c r="B135" s="4" t="s">
        <v>364</v>
      </c>
      <c r="C135" s="4" t="s">
        <v>77</v>
      </c>
      <c r="D135" s="27">
        <v>45238</v>
      </c>
      <c r="E135" s="4" t="s">
        <v>20</v>
      </c>
      <c r="F135" s="4" t="s">
        <v>21</v>
      </c>
      <c r="G135" s="4" t="s">
        <v>373</v>
      </c>
      <c r="H135" s="4" t="s">
        <v>23</v>
      </c>
      <c r="I135" s="4">
        <v>7</v>
      </c>
      <c r="J135" s="4" t="s">
        <v>89</v>
      </c>
      <c r="K135" s="4">
        <v>130</v>
      </c>
      <c r="L135" s="4">
        <v>2</v>
      </c>
      <c r="M135" s="4" t="s">
        <v>33</v>
      </c>
      <c r="N135" s="28">
        <v>0.792277194708583</v>
      </c>
      <c r="O135" s="4" t="s">
        <v>47</v>
      </c>
      <c r="P135" s="4">
        <v>260</v>
      </c>
      <c r="Q135" s="4">
        <v>54</v>
      </c>
      <c r="R135" s="4">
        <v>44</v>
      </c>
    </row>
    <row r="136" spans="1:18">
      <c r="A136" s="4" t="s">
        <v>374</v>
      </c>
      <c r="B136" s="4" t="s">
        <v>366</v>
      </c>
      <c r="C136" s="4" t="s">
        <v>229</v>
      </c>
      <c r="D136" s="27">
        <v>45243</v>
      </c>
      <c r="E136" s="4" t="s">
        <v>29</v>
      </c>
      <c r="F136" s="4" t="s">
        <v>21</v>
      </c>
      <c r="G136" s="4" t="s">
        <v>375</v>
      </c>
      <c r="H136" s="4" t="s">
        <v>31</v>
      </c>
      <c r="I136" s="4">
        <v>8</v>
      </c>
      <c r="J136" s="4" t="s">
        <v>93</v>
      </c>
      <c r="K136" s="4">
        <v>72</v>
      </c>
      <c r="L136" s="4">
        <v>9</v>
      </c>
      <c r="M136" s="4" t="s">
        <v>33</v>
      </c>
      <c r="N136" s="28">
        <v>0.0968065964102802</v>
      </c>
      <c r="O136" s="4" t="s">
        <v>26</v>
      </c>
      <c r="P136" s="4">
        <v>648</v>
      </c>
      <c r="Q136" s="4">
        <v>585</v>
      </c>
      <c r="R136" s="4">
        <v>19</v>
      </c>
    </row>
    <row r="137" spans="1:18">
      <c r="A137" s="4" t="s">
        <v>376</v>
      </c>
      <c r="B137" s="4" t="s">
        <v>368</v>
      </c>
      <c r="C137" s="4" t="s">
        <v>84</v>
      </c>
      <c r="D137" s="27">
        <v>45247</v>
      </c>
      <c r="E137" s="4" t="s">
        <v>29</v>
      </c>
      <c r="F137" s="4" t="s">
        <v>21</v>
      </c>
      <c r="G137" s="4" t="s">
        <v>377</v>
      </c>
      <c r="H137" s="4" t="s">
        <v>40</v>
      </c>
      <c r="I137" s="4">
        <v>7</v>
      </c>
      <c r="J137" s="4" t="s">
        <v>96</v>
      </c>
      <c r="K137" s="4">
        <v>65</v>
      </c>
      <c r="L137" s="4">
        <v>8</v>
      </c>
      <c r="M137" s="4" t="s">
        <v>33</v>
      </c>
      <c r="N137" s="28">
        <v>0.107380587883658</v>
      </c>
      <c r="O137" s="4" t="s">
        <v>34</v>
      </c>
      <c r="P137" s="4">
        <v>520</v>
      </c>
      <c r="Q137" s="4">
        <v>464</v>
      </c>
      <c r="R137" s="4">
        <v>31</v>
      </c>
    </row>
    <row r="138" spans="1:18">
      <c r="A138" s="4" t="s">
        <v>378</v>
      </c>
      <c r="B138" s="4" t="s">
        <v>370</v>
      </c>
      <c r="C138" s="4" t="s">
        <v>53</v>
      </c>
      <c r="D138" s="27">
        <v>45232</v>
      </c>
      <c r="E138" s="4" t="s">
        <v>20</v>
      </c>
      <c r="F138" s="4" t="s">
        <v>21</v>
      </c>
      <c r="G138" s="4" t="s">
        <v>379</v>
      </c>
      <c r="H138" s="4" t="s">
        <v>23</v>
      </c>
      <c r="I138" s="4">
        <v>9</v>
      </c>
      <c r="J138" s="4" t="s">
        <v>99</v>
      </c>
      <c r="K138" s="4">
        <v>250</v>
      </c>
      <c r="L138" s="4">
        <v>1</v>
      </c>
      <c r="M138" s="4" t="s">
        <v>33</v>
      </c>
      <c r="N138" s="28">
        <v>0.682987200322847</v>
      </c>
      <c r="O138" s="4" t="s">
        <v>42</v>
      </c>
      <c r="P138" s="4">
        <v>250</v>
      </c>
      <c r="Q138" s="4">
        <v>79</v>
      </c>
      <c r="R138" s="4">
        <v>120</v>
      </c>
    </row>
    <row r="139" spans="1:18">
      <c r="A139" s="4" t="s">
        <v>380</v>
      </c>
      <c r="B139" s="4" t="s">
        <v>372</v>
      </c>
      <c r="C139" s="4" t="s">
        <v>91</v>
      </c>
      <c r="D139" s="27">
        <v>45243</v>
      </c>
      <c r="E139" s="4" t="s">
        <v>29</v>
      </c>
      <c r="F139" s="4" t="s">
        <v>21</v>
      </c>
      <c r="G139" s="4" t="s">
        <v>381</v>
      </c>
      <c r="H139" s="4" t="s">
        <v>31</v>
      </c>
      <c r="I139" s="4">
        <v>8</v>
      </c>
      <c r="J139" s="4" t="s">
        <v>103</v>
      </c>
      <c r="K139" s="4">
        <v>130</v>
      </c>
      <c r="L139" s="4">
        <v>2</v>
      </c>
      <c r="M139" s="4" t="s">
        <v>33</v>
      </c>
      <c r="N139" s="28">
        <v>0.088476327566972</v>
      </c>
      <c r="O139" s="4" t="s">
        <v>47</v>
      </c>
      <c r="P139" s="4">
        <v>260</v>
      </c>
      <c r="Q139" s="4">
        <v>237</v>
      </c>
      <c r="R139" s="4">
        <v>43</v>
      </c>
    </row>
    <row r="140" spans="1:18">
      <c r="A140" s="4" t="s">
        <v>382</v>
      </c>
      <c r="B140" s="4" t="s">
        <v>374</v>
      </c>
      <c r="C140" s="4" t="s">
        <v>77</v>
      </c>
      <c r="D140" s="27">
        <v>45235</v>
      </c>
      <c r="E140" s="4" t="s">
        <v>20</v>
      </c>
      <c r="F140" s="4" t="s">
        <v>21</v>
      </c>
      <c r="G140" s="4" t="s">
        <v>383</v>
      </c>
      <c r="H140" s="4" t="s">
        <v>40</v>
      </c>
      <c r="I140" s="4">
        <v>9</v>
      </c>
      <c r="J140" s="4" t="s">
        <v>108</v>
      </c>
      <c r="K140" s="4">
        <v>72</v>
      </c>
      <c r="L140" s="4">
        <v>9</v>
      </c>
      <c r="M140" s="4" t="s">
        <v>25</v>
      </c>
      <c r="N140" s="28">
        <v>0.12263076179641</v>
      </c>
      <c r="O140" s="4" t="s">
        <v>26</v>
      </c>
      <c r="P140" s="4">
        <v>648</v>
      </c>
      <c r="Q140" s="4">
        <v>569</v>
      </c>
      <c r="R140" s="4">
        <v>34</v>
      </c>
    </row>
    <row r="141" spans="1:18">
      <c r="A141" s="4" t="s">
        <v>384</v>
      </c>
      <c r="B141" s="4" t="s">
        <v>376</v>
      </c>
      <c r="C141" s="4" t="s">
        <v>49</v>
      </c>
      <c r="D141" s="27">
        <v>45241</v>
      </c>
      <c r="E141" s="4" t="s">
        <v>29</v>
      </c>
      <c r="F141" s="4" t="s">
        <v>21</v>
      </c>
      <c r="G141" s="4" t="s">
        <v>385</v>
      </c>
      <c r="H141" s="4" t="s">
        <v>23</v>
      </c>
      <c r="I141" s="4">
        <v>9</v>
      </c>
      <c r="J141" s="4" t="s">
        <v>112</v>
      </c>
      <c r="K141" s="4">
        <v>65</v>
      </c>
      <c r="L141" s="4">
        <v>7</v>
      </c>
      <c r="M141" s="4" t="s">
        <v>33</v>
      </c>
      <c r="N141" s="28">
        <v>0.213481238544389</v>
      </c>
      <c r="O141" s="4" t="s">
        <v>34</v>
      </c>
      <c r="P141" s="4">
        <v>455</v>
      </c>
      <c r="Q141" s="4">
        <v>358</v>
      </c>
      <c r="R141" s="4">
        <v>16</v>
      </c>
    </row>
    <row r="142" spans="1:18">
      <c r="A142" s="4" t="s">
        <v>386</v>
      </c>
      <c r="B142" s="4" t="s">
        <v>378</v>
      </c>
      <c r="C142" s="4" t="s">
        <v>101</v>
      </c>
      <c r="D142" s="27">
        <v>45247</v>
      </c>
      <c r="E142" s="4" t="s">
        <v>20</v>
      </c>
      <c r="F142" s="4" t="s">
        <v>21</v>
      </c>
      <c r="G142" s="4" t="s">
        <v>387</v>
      </c>
      <c r="H142" s="4" t="s">
        <v>31</v>
      </c>
      <c r="I142" s="4">
        <v>9</v>
      </c>
      <c r="J142" s="4" t="s">
        <v>116</v>
      </c>
      <c r="K142" s="4">
        <v>250</v>
      </c>
      <c r="L142" s="4">
        <v>3</v>
      </c>
      <c r="M142" s="4" t="s">
        <v>25</v>
      </c>
      <c r="N142" s="28">
        <v>0.517771108770838</v>
      </c>
      <c r="O142" s="4" t="s">
        <v>42</v>
      </c>
      <c r="P142" s="4">
        <v>750</v>
      </c>
      <c r="Q142" s="4">
        <v>362</v>
      </c>
      <c r="R142" s="4">
        <v>113</v>
      </c>
    </row>
    <row r="143" spans="1:18">
      <c r="A143" s="4" t="s">
        <v>388</v>
      </c>
      <c r="B143" s="4" t="s">
        <v>380</v>
      </c>
      <c r="C143" s="4" t="s">
        <v>106</v>
      </c>
      <c r="D143" s="27">
        <v>45255</v>
      </c>
      <c r="E143" s="4" t="s">
        <v>29</v>
      </c>
      <c r="F143" s="4" t="s">
        <v>21</v>
      </c>
      <c r="G143" s="4" t="s">
        <v>389</v>
      </c>
      <c r="H143" s="4" t="s">
        <v>40</v>
      </c>
      <c r="I143" s="4">
        <v>9</v>
      </c>
      <c r="J143" s="4" t="s">
        <v>120</v>
      </c>
      <c r="K143" s="4">
        <v>130</v>
      </c>
      <c r="L143" s="4">
        <v>3</v>
      </c>
      <c r="M143" s="4" t="s">
        <v>33</v>
      </c>
      <c r="N143" s="28">
        <v>0.247141236658786</v>
      </c>
      <c r="O143" s="4" t="s">
        <v>47</v>
      </c>
      <c r="P143" s="4">
        <v>390</v>
      </c>
      <c r="Q143" s="4">
        <v>294</v>
      </c>
      <c r="R143" s="4">
        <v>61</v>
      </c>
    </row>
    <row r="144" spans="1:18">
      <c r="A144" s="4" t="s">
        <v>390</v>
      </c>
      <c r="B144" s="4" t="s">
        <v>382</v>
      </c>
      <c r="C144" s="4" t="s">
        <v>110</v>
      </c>
      <c r="D144" s="27">
        <v>45236</v>
      </c>
      <c r="E144" s="4" t="s">
        <v>37</v>
      </c>
      <c r="F144" s="4" t="s">
        <v>21</v>
      </c>
      <c r="G144" s="4" t="s">
        <v>391</v>
      </c>
      <c r="H144" s="4" t="s">
        <v>23</v>
      </c>
      <c r="I144" s="4">
        <v>9</v>
      </c>
      <c r="J144" s="4" t="s">
        <v>124</v>
      </c>
      <c r="K144" s="4">
        <v>72</v>
      </c>
      <c r="L144" s="4">
        <v>4</v>
      </c>
      <c r="M144" s="4" t="s">
        <v>25</v>
      </c>
      <c r="N144" s="28">
        <v>0.741088901812436</v>
      </c>
      <c r="O144" s="4" t="s">
        <v>26</v>
      </c>
      <c r="P144" s="4">
        <v>288</v>
      </c>
      <c r="Q144" s="4">
        <v>75</v>
      </c>
      <c r="R144" s="4">
        <v>24</v>
      </c>
    </row>
    <row r="145" spans="1:18">
      <c r="A145" s="4" t="s">
        <v>392</v>
      </c>
      <c r="B145" s="4" t="s">
        <v>384</v>
      </c>
      <c r="C145" s="4" t="s">
        <v>73</v>
      </c>
      <c r="D145" s="27">
        <v>45238</v>
      </c>
      <c r="E145" s="4" t="s">
        <v>20</v>
      </c>
      <c r="F145" s="4" t="s">
        <v>21</v>
      </c>
      <c r="G145" s="4" t="s">
        <v>393</v>
      </c>
      <c r="H145" s="4" t="s">
        <v>31</v>
      </c>
      <c r="I145" s="4">
        <v>8</v>
      </c>
      <c r="J145" s="4" t="s">
        <v>128</v>
      </c>
      <c r="K145" s="4">
        <v>65</v>
      </c>
      <c r="L145" s="4">
        <v>5</v>
      </c>
      <c r="M145" s="4" t="s">
        <v>33</v>
      </c>
      <c r="N145" s="28">
        <v>0.758955047491833</v>
      </c>
      <c r="O145" s="4" t="s">
        <v>34</v>
      </c>
      <c r="P145" s="4">
        <v>325</v>
      </c>
      <c r="Q145" s="4">
        <v>78</v>
      </c>
      <c r="R145" s="4">
        <v>30</v>
      </c>
    </row>
    <row r="146" spans="1:18">
      <c r="A146" s="4" t="s">
        <v>394</v>
      </c>
      <c r="B146" s="4" t="s">
        <v>386</v>
      </c>
      <c r="C146" s="4"/>
      <c r="D146" s="27">
        <v>45253</v>
      </c>
      <c r="E146" s="4" t="s">
        <v>29</v>
      </c>
      <c r="F146" s="4" t="s">
        <v>38</v>
      </c>
      <c r="G146" s="4" t="s">
        <v>395</v>
      </c>
      <c r="H146" s="4" t="s">
        <v>40</v>
      </c>
      <c r="I146" s="4">
        <v>8</v>
      </c>
      <c r="J146" s="4" t="s">
        <v>132</v>
      </c>
      <c r="K146" s="4">
        <v>250</v>
      </c>
      <c r="L146" s="4">
        <v>4</v>
      </c>
      <c r="M146" s="4" t="s">
        <v>25</v>
      </c>
      <c r="N146" s="28">
        <v>0.395194524166475</v>
      </c>
      <c r="O146" s="4" t="s">
        <v>42</v>
      </c>
      <c r="P146" s="4">
        <v>1000</v>
      </c>
      <c r="Q146" s="4">
        <v>605</v>
      </c>
      <c r="R146" s="4">
        <v>85</v>
      </c>
    </row>
    <row r="147" spans="1:18">
      <c r="A147" s="4" t="s">
        <v>396</v>
      </c>
      <c r="B147" s="4" t="s">
        <v>388</v>
      </c>
      <c r="C147" s="4" t="s">
        <v>122</v>
      </c>
      <c r="D147" s="27">
        <v>45235</v>
      </c>
      <c r="E147" s="4" t="s">
        <v>29</v>
      </c>
      <c r="F147" s="4" t="s">
        <v>21</v>
      </c>
      <c r="G147" s="4" t="s">
        <v>397</v>
      </c>
      <c r="H147" s="4" t="s">
        <v>23</v>
      </c>
      <c r="I147" s="4">
        <v>7</v>
      </c>
      <c r="J147" s="4" t="s">
        <v>136</v>
      </c>
      <c r="K147" s="4">
        <v>130</v>
      </c>
      <c r="L147" s="4">
        <v>5</v>
      </c>
      <c r="M147" s="4" t="s">
        <v>33</v>
      </c>
      <c r="N147" s="28">
        <v>0.0258578141589377</v>
      </c>
      <c r="O147" s="4" t="s">
        <v>47</v>
      </c>
      <c r="P147" s="4">
        <v>650</v>
      </c>
      <c r="Q147" s="4">
        <v>633</v>
      </c>
      <c r="R147" s="4">
        <v>55</v>
      </c>
    </row>
    <row r="148" spans="1:18">
      <c r="A148" s="4" t="s">
        <v>398</v>
      </c>
      <c r="B148" s="4" t="s">
        <v>390</v>
      </c>
      <c r="C148" s="4" t="s">
        <v>126</v>
      </c>
      <c r="D148" s="27">
        <v>45236</v>
      </c>
      <c r="E148" s="4" t="s">
        <v>20</v>
      </c>
      <c r="F148" s="4" t="s">
        <v>21</v>
      </c>
      <c r="G148" s="4" t="s">
        <v>399</v>
      </c>
      <c r="H148" s="4" t="s">
        <v>31</v>
      </c>
      <c r="I148" s="4">
        <v>7</v>
      </c>
      <c r="J148" s="4" t="s">
        <v>141</v>
      </c>
      <c r="K148" s="4">
        <v>60</v>
      </c>
      <c r="L148" s="4">
        <v>10</v>
      </c>
      <c r="M148" s="4" t="s">
        <v>25</v>
      </c>
      <c r="N148" s="28">
        <v>0.352241957555999</v>
      </c>
      <c r="O148" s="4" t="s">
        <v>68</v>
      </c>
      <c r="P148" s="4">
        <v>600</v>
      </c>
      <c r="Q148" s="4">
        <v>389</v>
      </c>
      <c r="R148" s="4">
        <v>22</v>
      </c>
    </row>
    <row r="149" spans="1:18">
      <c r="A149" s="4" t="s">
        <v>400</v>
      </c>
      <c r="B149" s="4" t="s">
        <v>392</v>
      </c>
      <c r="C149" s="4" t="s">
        <v>130</v>
      </c>
      <c r="D149" s="27">
        <v>45231</v>
      </c>
      <c r="E149" s="4" t="s">
        <v>29</v>
      </c>
      <c r="F149" s="4" t="s">
        <v>21</v>
      </c>
      <c r="G149" s="4" t="s">
        <v>401</v>
      </c>
      <c r="H149" s="4" t="s">
        <v>40</v>
      </c>
      <c r="I149" s="4">
        <v>9</v>
      </c>
      <c r="J149" s="4" t="s">
        <v>24</v>
      </c>
      <c r="K149" s="4">
        <v>72</v>
      </c>
      <c r="L149" s="4">
        <v>12</v>
      </c>
      <c r="M149" s="4" t="s">
        <v>33</v>
      </c>
      <c r="N149" s="28">
        <v>0.0429347377694649</v>
      </c>
      <c r="O149" s="4" t="s">
        <v>26</v>
      </c>
      <c r="P149" s="4">
        <v>864</v>
      </c>
      <c r="Q149" s="4">
        <v>827</v>
      </c>
      <c r="R149" s="4">
        <v>32</v>
      </c>
    </row>
    <row r="150" spans="1:18">
      <c r="A150" s="4" t="s">
        <v>402</v>
      </c>
      <c r="B150" s="4" t="s">
        <v>394</v>
      </c>
      <c r="C150" s="4" t="s">
        <v>134</v>
      </c>
      <c r="D150" s="27">
        <v>45253</v>
      </c>
      <c r="E150" s="4" t="s">
        <v>20</v>
      </c>
      <c r="F150" s="4" t="s">
        <v>21</v>
      </c>
      <c r="G150" s="4" t="s">
        <v>403</v>
      </c>
      <c r="H150" s="4" t="s">
        <v>23</v>
      </c>
      <c r="I150" s="4">
        <v>8</v>
      </c>
      <c r="J150" s="4" t="s">
        <v>32</v>
      </c>
      <c r="K150" s="4">
        <v>65</v>
      </c>
      <c r="L150" s="4">
        <v>12</v>
      </c>
      <c r="M150" s="4" t="s">
        <v>25</v>
      </c>
      <c r="N150" s="28">
        <v>0.0068824781708392</v>
      </c>
      <c r="O150" s="4" t="s">
        <v>34</v>
      </c>
      <c r="P150" s="4">
        <v>780</v>
      </c>
      <c r="Q150" s="4">
        <v>775</v>
      </c>
      <c r="R150" s="4">
        <v>34</v>
      </c>
    </row>
    <row r="151" spans="1:18">
      <c r="A151" s="4" t="s">
        <v>404</v>
      </c>
      <c r="B151" s="4" t="s">
        <v>396</v>
      </c>
      <c r="C151" s="4" t="s">
        <v>139</v>
      </c>
      <c r="D151" s="27">
        <v>45234</v>
      </c>
      <c r="E151" s="4" t="s">
        <v>29</v>
      </c>
      <c r="F151" s="4" t="s">
        <v>21</v>
      </c>
      <c r="G151" s="4" t="s">
        <v>405</v>
      </c>
      <c r="H151" s="4" t="s">
        <v>23</v>
      </c>
      <c r="I151" s="4">
        <v>8</v>
      </c>
      <c r="J151" s="4" t="s">
        <v>41</v>
      </c>
      <c r="K151" s="4">
        <v>250</v>
      </c>
      <c r="L151" s="4">
        <v>1</v>
      </c>
      <c r="M151" s="4" t="s">
        <v>33</v>
      </c>
      <c r="N151" s="28">
        <v>0.855340074725564</v>
      </c>
      <c r="O151" s="4" t="s">
        <v>42</v>
      </c>
      <c r="P151" s="4">
        <v>250</v>
      </c>
      <c r="Q151" s="4">
        <v>36</v>
      </c>
      <c r="R151" s="4">
        <v>128</v>
      </c>
    </row>
    <row r="152" spans="1:18">
      <c r="A152" s="4" t="s">
        <v>406</v>
      </c>
      <c r="B152" s="4" t="s">
        <v>398</v>
      </c>
      <c r="C152" s="4" t="s">
        <v>143</v>
      </c>
      <c r="D152" s="27">
        <v>45252</v>
      </c>
      <c r="E152" s="4" t="s">
        <v>29</v>
      </c>
      <c r="F152" s="4" t="s">
        <v>38</v>
      </c>
      <c r="G152" s="4" t="s">
        <v>407</v>
      </c>
      <c r="H152" s="4" t="s">
        <v>23</v>
      </c>
      <c r="I152" s="4">
        <v>10</v>
      </c>
      <c r="J152" s="4" t="s">
        <v>46</v>
      </c>
      <c r="K152" s="4">
        <v>130</v>
      </c>
      <c r="L152" s="4">
        <v>6</v>
      </c>
      <c r="M152" s="4" t="s">
        <v>25</v>
      </c>
      <c r="N152" s="28">
        <v>0.621076485332146</v>
      </c>
      <c r="O152" s="4" t="s">
        <v>47</v>
      </c>
      <c r="P152" s="4">
        <v>780</v>
      </c>
      <c r="Q152" s="4">
        <v>296</v>
      </c>
      <c r="R152" s="4">
        <v>73</v>
      </c>
    </row>
    <row r="153" spans="1:18">
      <c r="A153" s="4" t="s">
        <v>408</v>
      </c>
      <c r="B153" s="4" t="s">
        <v>400</v>
      </c>
      <c r="C153" s="4" t="s">
        <v>146</v>
      </c>
      <c r="D153" s="27">
        <v>45238</v>
      </c>
      <c r="E153" s="4" t="s">
        <v>20</v>
      </c>
      <c r="F153" s="4" t="s">
        <v>21</v>
      </c>
      <c r="G153" s="4" t="s">
        <v>409</v>
      </c>
      <c r="H153" s="4" t="s">
        <v>31</v>
      </c>
      <c r="I153" s="4">
        <v>8</v>
      </c>
      <c r="J153" s="4" t="s">
        <v>51</v>
      </c>
      <c r="K153" s="4">
        <v>72</v>
      </c>
      <c r="L153" s="4">
        <v>3</v>
      </c>
      <c r="M153" s="4" t="s">
        <v>33</v>
      </c>
      <c r="N153" s="28">
        <v>0.938192011575187</v>
      </c>
      <c r="O153" s="4" t="s">
        <v>26</v>
      </c>
      <c r="P153" s="4">
        <v>216</v>
      </c>
      <c r="Q153" s="4">
        <v>13</v>
      </c>
      <c r="R153" s="4">
        <v>30</v>
      </c>
    </row>
    <row r="154" spans="1:18">
      <c r="A154" s="4" t="s">
        <v>410</v>
      </c>
      <c r="B154" s="4" t="s">
        <v>402</v>
      </c>
      <c r="C154" s="4" t="s">
        <v>149</v>
      </c>
      <c r="D154" s="27">
        <v>45251</v>
      </c>
      <c r="E154" s="4" t="s">
        <v>29</v>
      </c>
      <c r="F154" s="4" t="s">
        <v>21</v>
      </c>
      <c r="G154" s="4" t="s">
        <v>411</v>
      </c>
      <c r="H154" s="4" t="s">
        <v>40</v>
      </c>
      <c r="I154" s="4">
        <v>8</v>
      </c>
      <c r="J154" s="4" t="s">
        <v>55</v>
      </c>
      <c r="K154" s="4">
        <v>65</v>
      </c>
      <c r="L154" s="4">
        <v>12</v>
      </c>
      <c r="M154" s="4" t="s">
        <v>25</v>
      </c>
      <c r="N154" s="28">
        <v>0.977315063472137</v>
      </c>
      <c r="O154" s="4" t="s">
        <v>34</v>
      </c>
      <c r="P154" s="4">
        <v>780</v>
      </c>
      <c r="Q154" s="4">
        <v>18</v>
      </c>
      <c r="R154" s="4">
        <v>29</v>
      </c>
    </row>
    <row r="155" spans="1:18">
      <c r="A155" s="4" t="s">
        <v>412</v>
      </c>
      <c r="B155" s="4" t="s">
        <v>404</v>
      </c>
      <c r="C155" s="4" t="s">
        <v>152</v>
      </c>
      <c r="D155" s="27">
        <v>45243</v>
      </c>
      <c r="E155" s="4" t="s">
        <v>29</v>
      </c>
      <c r="F155" s="4" t="s">
        <v>21</v>
      </c>
      <c r="G155" s="4" t="s">
        <v>413</v>
      </c>
      <c r="H155" s="4" t="s">
        <v>23</v>
      </c>
      <c r="I155" s="4">
        <v>8</v>
      </c>
      <c r="J155" s="4" t="s">
        <v>58</v>
      </c>
      <c r="K155" s="4">
        <v>250</v>
      </c>
      <c r="L155" s="4">
        <v>3</v>
      </c>
      <c r="M155" s="4" t="s">
        <v>33</v>
      </c>
      <c r="N155" s="28">
        <v>0.936187692030995</v>
      </c>
      <c r="O155" s="4" t="s">
        <v>42</v>
      </c>
      <c r="P155" s="4">
        <v>750</v>
      </c>
      <c r="Q155" s="4">
        <v>48</v>
      </c>
      <c r="R155" s="4">
        <v>88</v>
      </c>
    </row>
    <row r="156" spans="1:18">
      <c r="A156" s="4" t="s">
        <v>414</v>
      </c>
      <c r="B156" s="4" t="s">
        <v>406</v>
      </c>
      <c r="C156" s="4" t="s">
        <v>84</v>
      </c>
      <c r="D156" s="27">
        <v>45258</v>
      </c>
      <c r="E156" s="4" t="s">
        <v>20</v>
      </c>
      <c r="F156" s="4" t="s">
        <v>21</v>
      </c>
      <c r="G156" s="4" t="s">
        <v>415</v>
      </c>
      <c r="H156" s="4" t="s">
        <v>31</v>
      </c>
      <c r="I156" s="4">
        <v>8</v>
      </c>
      <c r="J156" s="4" t="s">
        <v>63</v>
      </c>
      <c r="K156" s="4">
        <v>130</v>
      </c>
      <c r="L156" s="4">
        <v>5</v>
      </c>
      <c r="M156" s="4" t="s">
        <v>25</v>
      </c>
      <c r="N156" s="28">
        <v>0.927470594519066</v>
      </c>
      <c r="O156" s="4" t="s">
        <v>47</v>
      </c>
      <c r="P156" s="4">
        <v>650</v>
      </c>
      <c r="Q156" s="4">
        <v>47</v>
      </c>
      <c r="R156" s="4">
        <v>85</v>
      </c>
    </row>
    <row r="157" spans="1:18">
      <c r="A157" s="4" t="s">
        <v>416</v>
      </c>
      <c r="B157" s="4" t="s">
        <v>408</v>
      </c>
      <c r="C157" s="4" t="s">
        <v>118</v>
      </c>
      <c r="D157" s="27">
        <v>45233</v>
      </c>
      <c r="E157" s="4" t="s">
        <v>29</v>
      </c>
      <c r="F157" s="4" t="s">
        <v>21</v>
      </c>
      <c r="G157" s="4" t="s">
        <v>417</v>
      </c>
      <c r="H157" s="4" t="s">
        <v>40</v>
      </c>
      <c r="I157" s="4">
        <v>7</v>
      </c>
      <c r="J157" s="4" t="s">
        <v>67</v>
      </c>
      <c r="K157" s="4">
        <v>60</v>
      </c>
      <c r="L157" s="4">
        <v>8</v>
      </c>
      <c r="M157" s="4" t="s">
        <v>25</v>
      </c>
      <c r="N157" s="28">
        <v>0.0983311046481503</v>
      </c>
      <c r="O157" s="4" t="s">
        <v>68</v>
      </c>
      <c r="P157" s="4">
        <v>480</v>
      </c>
      <c r="Q157" s="4">
        <v>433</v>
      </c>
      <c r="R157" s="4">
        <v>31</v>
      </c>
    </row>
    <row r="158" spans="1:18">
      <c r="A158" s="4" t="s">
        <v>418</v>
      </c>
      <c r="B158" s="4" t="s">
        <v>410</v>
      </c>
      <c r="C158" s="4" t="s">
        <v>139</v>
      </c>
      <c r="D158" s="27">
        <v>45250</v>
      </c>
      <c r="E158" s="4" t="s">
        <v>20</v>
      </c>
      <c r="F158" s="4" t="s">
        <v>21</v>
      </c>
      <c r="G158" s="4" t="s">
        <v>419</v>
      </c>
      <c r="H158" s="4" t="s">
        <v>23</v>
      </c>
      <c r="I158" s="4">
        <v>7</v>
      </c>
      <c r="J158" s="4" t="s">
        <v>71</v>
      </c>
      <c r="K158" s="4">
        <v>95</v>
      </c>
      <c r="L158" s="4">
        <v>5</v>
      </c>
      <c r="M158" s="4" t="s">
        <v>33</v>
      </c>
      <c r="N158" s="28">
        <v>0.00450124780471717</v>
      </c>
      <c r="O158" s="4" t="s">
        <v>104</v>
      </c>
      <c r="P158" s="4">
        <v>475</v>
      </c>
      <c r="Q158" s="4">
        <v>473</v>
      </c>
      <c r="R158" s="4">
        <v>45</v>
      </c>
    </row>
    <row r="159" spans="1:18">
      <c r="A159" s="4" t="s">
        <v>420</v>
      </c>
      <c r="B159" s="4" t="s">
        <v>412</v>
      </c>
      <c r="C159" s="4" t="s">
        <v>49</v>
      </c>
      <c r="D159" s="27">
        <v>45249</v>
      </c>
      <c r="E159" s="4" t="s">
        <v>29</v>
      </c>
      <c r="F159" s="4" t="s">
        <v>21</v>
      </c>
      <c r="G159" s="4" t="s">
        <v>421</v>
      </c>
      <c r="H159" s="4" t="s">
        <v>31</v>
      </c>
      <c r="I159" s="4">
        <v>9</v>
      </c>
      <c r="J159" s="4" t="s">
        <v>75</v>
      </c>
      <c r="K159" s="4">
        <v>72</v>
      </c>
      <c r="L159" s="4">
        <v>9</v>
      </c>
      <c r="M159" s="4" t="s">
        <v>33</v>
      </c>
      <c r="N159" s="28">
        <v>0.221691923662468</v>
      </c>
      <c r="O159" s="4" t="s">
        <v>26</v>
      </c>
      <c r="P159" s="4">
        <v>648</v>
      </c>
      <c r="Q159" s="4">
        <v>504</v>
      </c>
      <c r="R159" s="4">
        <v>26</v>
      </c>
    </row>
    <row r="160" spans="1:18">
      <c r="A160" s="4" t="s">
        <v>422</v>
      </c>
      <c r="B160" s="4" t="s">
        <v>414</v>
      </c>
      <c r="C160" s="4" t="s">
        <v>91</v>
      </c>
      <c r="D160" s="27">
        <v>45250</v>
      </c>
      <c r="E160" s="4" t="s">
        <v>20</v>
      </c>
      <c r="F160" s="4" t="s">
        <v>21</v>
      </c>
      <c r="G160" s="4" t="s">
        <v>423</v>
      </c>
      <c r="H160" s="4" t="s">
        <v>40</v>
      </c>
      <c r="I160" s="4">
        <v>7</v>
      </c>
      <c r="J160" s="4" t="s">
        <v>79</v>
      </c>
      <c r="K160" s="4">
        <v>65</v>
      </c>
      <c r="L160" s="4">
        <v>6</v>
      </c>
      <c r="M160" s="4" t="s">
        <v>33</v>
      </c>
      <c r="N160" s="28">
        <v>0.916247091178586</v>
      </c>
      <c r="O160" s="4" t="s">
        <v>34</v>
      </c>
      <c r="P160" s="4">
        <v>390</v>
      </c>
      <c r="Q160" s="4">
        <v>33</v>
      </c>
      <c r="R160" s="4">
        <v>19</v>
      </c>
    </row>
    <row r="161" spans="1:18">
      <c r="A161" s="4" t="s">
        <v>424</v>
      </c>
      <c r="B161" s="4" t="s">
        <v>416</v>
      </c>
      <c r="C161" s="4" t="s">
        <v>146</v>
      </c>
      <c r="D161" s="27">
        <v>45239</v>
      </c>
      <c r="E161" s="4" t="s">
        <v>29</v>
      </c>
      <c r="F161" s="4" t="s">
        <v>21</v>
      </c>
      <c r="G161" s="4" t="s">
        <v>425</v>
      </c>
      <c r="H161" s="4" t="s">
        <v>23</v>
      </c>
      <c r="I161" s="4">
        <v>9</v>
      </c>
      <c r="J161" s="4" t="s">
        <v>82</v>
      </c>
      <c r="K161" s="4">
        <v>250</v>
      </c>
      <c r="L161" s="4">
        <v>3</v>
      </c>
      <c r="M161" s="4" t="s">
        <v>25</v>
      </c>
      <c r="N161" s="28">
        <v>0.6136251631702</v>
      </c>
      <c r="O161" s="4" t="s">
        <v>42</v>
      </c>
      <c r="P161" s="4">
        <v>750</v>
      </c>
      <c r="Q161" s="4">
        <v>290</v>
      </c>
      <c r="R161" s="4">
        <v>83</v>
      </c>
    </row>
    <row r="162" spans="1:18">
      <c r="A162" s="4" t="s">
        <v>426</v>
      </c>
      <c r="B162" s="4" t="s">
        <v>418</v>
      </c>
      <c r="C162" s="4" t="s">
        <v>149</v>
      </c>
      <c r="D162" s="27">
        <v>45237</v>
      </c>
      <c r="E162" s="4" t="s">
        <v>37</v>
      </c>
      <c r="F162" s="4" t="s">
        <v>21</v>
      </c>
      <c r="G162" s="4" t="s">
        <v>427</v>
      </c>
      <c r="H162" s="4" t="s">
        <v>31</v>
      </c>
      <c r="I162" s="4">
        <v>10</v>
      </c>
      <c r="J162" s="4" t="s">
        <v>86</v>
      </c>
      <c r="K162" s="4">
        <v>130</v>
      </c>
      <c r="L162" s="4">
        <v>4</v>
      </c>
      <c r="M162" s="4" t="s">
        <v>25</v>
      </c>
      <c r="N162" s="28">
        <v>0.815726236656565</v>
      </c>
      <c r="O162" s="4" t="s">
        <v>47</v>
      </c>
      <c r="P162" s="4">
        <v>520</v>
      </c>
      <c r="Q162" s="4">
        <v>96</v>
      </c>
      <c r="R162" s="4">
        <v>64</v>
      </c>
    </row>
    <row r="163" spans="1:18">
      <c r="A163" s="4" t="s">
        <v>428</v>
      </c>
      <c r="B163" s="4" t="s">
        <v>420</v>
      </c>
      <c r="C163" s="4" t="s">
        <v>171</v>
      </c>
      <c r="D163" s="27">
        <v>45232</v>
      </c>
      <c r="E163" s="4" t="s">
        <v>20</v>
      </c>
      <c r="F163" s="4" t="s">
        <v>21</v>
      </c>
      <c r="G163" s="4" t="s">
        <v>429</v>
      </c>
      <c r="H163" s="4" t="s">
        <v>40</v>
      </c>
      <c r="I163" s="4">
        <v>7</v>
      </c>
      <c r="J163" s="4" t="s">
        <v>89</v>
      </c>
      <c r="K163" s="4">
        <v>72</v>
      </c>
      <c r="L163" s="4">
        <v>11</v>
      </c>
      <c r="M163" s="4" t="s">
        <v>25</v>
      </c>
      <c r="N163" s="28">
        <v>0.603947723087495</v>
      </c>
      <c r="O163" s="4" t="s">
        <v>26</v>
      </c>
      <c r="P163" s="4">
        <v>792</v>
      </c>
      <c r="Q163" s="4">
        <v>314</v>
      </c>
      <c r="R163" s="4">
        <v>29</v>
      </c>
    </row>
    <row r="164" spans="1:18">
      <c r="A164" s="4" t="s">
        <v>430</v>
      </c>
      <c r="B164" s="4" t="s">
        <v>422</v>
      </c>
      <c r="C164" s="4" t="s">
        <v>316</v>
      </c>
      <c r="D164" s="27">
        <v>45235</v>
      </c>
      <c r="E164" s="4" t="s">
        <v>29</v>
      </c>
      <c r="F164" s="4" t="s">
        <v>21</v>
      </c>
      <c r="G164" s="4" t="s">
        <v>431</v>
      </c>
      <c r="H164" s="4" t="s">
        <v>23</v>
      </c>
      <c r="I164" s="4">
        <v>10</v>
      </c>
      <c r="J164" s="4" t="s">
        <v>93</v>
      </c>
      <c r="K164" s="4">
        <v>65</v>
      </c>
      <c r="L164" s="4">
        <v>7</v>
      </c>
      <c r="M164" s="4" t="s">
        <v>25</v>
      </c>
      <c r="N164" s="28">
        <v>0.27166765426644</v>
      </c>
      <c r="O164" s="4" t="s">
        <v>34</v>
      </c>
      <c r="P164" s="4">
        <v>455</v>
      </c>
      <c r="Q164" s="4">
        <v>331</v>
      </c>
      <c r="R164" s="4">
        <v>42</v>
      </c>
    </row>
    <row r="165" spans="1:18">
      <c r="A165" s="4" t="s">
        <v>432</v>
      </c>
      <c r="B165" s="4" t="s">
        <v>424</v>
      </c>
      <c r="C165" s="4" t="s">
        <v>176</v>
      </c>
      <c r="D165" s="27">
        <v>45244</v>
      </c>
      <c r="E165" s="4" t="s">
        <v>29</v>
      </c>
      <c r="F165" s="4" t="s">
        <v>21</v>
      </c>
      <c r="G165" s="4" t="s">
        <v>433</v>
      </c>
      <c r="H165" s="4" t="s">
        <v>31</v>
      </c>
      <c r="I165" s="4">
        <v>9</v>
      </c>
      <c r="J165" s="4" t="s">
        <v>96</v>
      </c>
      <c r="K165" s="4">
        <v>250</v>
      </c>
      <c r="L165" s="4">
        <v>2</v>
      </c>
      <c r="M165" s="4" t="s">
        <v>25</v>
      </c>
      <c r="N165" s="28">
        <v>0.562932281624065</v>
      </c>
      <c r="O165" s="4" t="s">
        <v>42</v>
      </c>
      <c r="P165" s="4">
        <v>500</v>
      </c>
      <c r="Q165" s="4">
        <v>219</v>
      </c>
      <c r="R165" s="4">
        <v>148</v>
      </c>
    </row>
    <row r="166" spans="1:18">
      <c r="A166" s="4" t="s">
        <v>434</v>
      </c>
      <c r="B166" s="4" t="s">
        <v>426</v>
      </c>
      <c r="C166" s="4" t="s">
        <v>179</v>
      </c>
      <c r="D166" s="27">
        <v>45260</v>
      </c>
      <c r="E166" s="4" t="s">
        <v>20</v>
      </c>
      <c r="F166" s="4" t="s">
        <v>21</v>
      </c>
      <c r="G166" s="4" t="s">
        <v>435</v>
      </c>
      <c r="H166" s="4" t="s">
        <v>40</v>
      </c>
      <c r="I166" s="4">
        <v>8</v>
      </c>
      <c r="J166" s="4" t="s">
        <v>99</v>
      </c>
      <c r="K166" s="4">
        <v>130</v>
      </c>
      <c r="L166" s="4">
        <v>4</v>
      </c>
      <c r="M166" s="4" t="s">
        <v>25</v>
      </c>
      <c r="N166" s="28">
        <v>0.735791402195259</v>
      </c>
      <c r="O166" s="4" t="s">
        <v>47</v>
      </c>
      <c r="P166" s="4">
        <v>520</v>
      </c>
      <c r="Q166" s="4">
        <v>137</v>
      </c>
      <c r="R166" s="4">
        <v>60</v>
      </c>
    </row>
    <row r="167" spans="1:18">
      <c r="A167" s="4" t="s">
        <v>436</v>
      </c>
      <c r="B167" s="4" t="s">
        <v>428</v>
      </c>
      <c r="C167" s="4" t="s">
        <v>182</v>
      </c>
      <c r="D167" s="27">
        <v>45231</v>
      </c>
      <c r="E167" s="4" t="s">
        <v>29</v>
      </c>
      <c r="F167" s="4" t="s">
        <v>21</v>
      </c>
      <c r="G167" s="4" t="s">
        <v>437</v>
      </c>
      <c r="H167" s="4" t="s">
        <v>23</v>
      </c>
      <c r="I167" s="4">
        <v>7</v>
      </c>
      <c r="J167" s="4" t="s">
        <v>103</v>
      </c>
      <c r="K167" s="4">
        <v>60</v>
      </c>
      <c r="L167" s="4">
        <v>12</v>
      </c>
      <c r="M167" s="4" t="s">
        <v>25</v>
      </c>
      <c r="N167" s="28">
        <v>0.441129317811212</v>
      </c>
      <c r="O167" s="4" t="s">
        <v>68</v>
      </c>
      <c r="P167" s="4">
        <v>720</v>
      </c>
      <c r="Q167" s="4">
        <v>402</v>
      </c>
      <c r="R167" s="4">
        <v>22</v>
      </c>
    </row>
    <row r="168" spans="1:18">
      <c r="A168" s="4" t="s">
        <v>438</v>
      </c>
      <c r="B168" s="4" t="s">
        <v>430</v>
      </c>
      <c r="C168" s="4" t="s">
        <v>73</v>
      </c>
      <c r="D168" s="27">
        <v>45235</v>
      </c>
      <c r="E168" s="4" t="s">
        <v>20</v>
      </c>
      <c r="F168" s="4" t="s">
        <v>21</v>
      </c>
      <c r="G168" s="4" t="s">
        <v>439</v>
      </c>
      <c r="H168" s="4" t="s">
        <v>31</v>
      </c>
      <c r="I168" s="4">
        <v>7</v>
      </c>
      <c r="J168" s="4" t="s">
        <v>108</v>
      </c>
      <c r="K168" s="4">
        <v>72</v>
      </c>
      <c r="L168" s="4">
        <v>11</v>
      </c>
      <c r="M168" s="4" t="s">
        <v>25</v>
      </c>
      <c r="N168" s="28">
        <v>0.670267638767649</v>
      </c>
      <c r="O168" s="4" t="s">
        <v>26</v>
      </c>
      <c r="P168" s="4">
        <v>792</v>
      </c>
      <c r="Q168" s="4">
        <v>261</v>
      </c>
      <c r="R168" s="4">
        <v>28</v>
      </c>
    </row>
    <row r="169" spans="1:18">
      <c r="A169" s="4" t="s">
        <v>440</v>
      </c>
      <c r="B169" s="4" t="s">
        <v>432</v>
      </c>
      <c r="C169" s="4" t="s">
        <v>188</v>
      </c>
      <c r="D169" s="27">
        <v>45242</v>
      </c>
      <c r="E169" s="4" t="s">
        <v>29</v>
      </c>
      <c r="F169" s="4" t="s">
        <v>21</v>
      </c>
      <c r="G169" s="4" t="s">
        <v>441</v>
      </c>
      <c r="H169" s="4" t="s">
        <v>40</v>
      </c>
      <c r="I169" s="4">
        <v>7</v>
      </c>
      <c r="J169" s="4" t="s">
        <v>112</v>
      </c>
      <c r="K169" s="4">
        <v>65</v>
      </c>
      <c r="L169" s="4">
        <v>9</v>
      </c>
      <c r="M169" s="4" t="s">
        <v>25</v>
      </c>
      <c r="N169" s="28">
        <v>0.215018428148193</v>
      </c>
      <c r="O169" s="4" t="s">
        <v>34</v>
      </c>
      <c r="P169" s="4">
        <v>585</v>
      </c>
      <c r="Q169" s="4">
        <v>459</v>
      </c>
      <c r="R169" s="4">
        <v>21</v>
      </c>
    </row>
    <row r="170" spans="1:18">
      <c r="A170" s="4" t="s">
        <v>442</v>
      </c>
      <c r="B170" s="4" t="s">
        <v>434</v>
      </c>
      <c r="C170" s="4" t="s">
        <v>191</v>
      </c>
      <c r="D170" s="27">
        <v>45244</v>
      </c>
      <c r="E170" s="4" t="s">
        <v>29</v>
      </c>
      <c r="F170" s="4" t="s">
        <v>21</v>
      </c>
      <c r="G170" s="4" t="s">
        <v>443</v>
      </c>
      <c r="H170" s="4" t="s">
        <v>23</v>
      </c>
      <c r="I170" s="4">
        <v>10</v>
      </c>
      <c r="J170" s="4" t="s">
        <v>116</v>
      </c>
      <c r="K170" s="4">
        <v>250</v>
      </c>
      <c r="L170" s="4">
        <v>3</v>
      </c>
      <c r="M170" s="4" t="s">
        <v>33</v>
      </c>
      <c r="N170" s="28">
        <v>0.775283880307769</v>
      </c>
      <c r="O170" s="4" t="s">
        <v>42</v>
      </c>
      <c r="P170" s="4">
        <v>750</v>
      </c>
      <c r="Q170" s="4">
        <v>169</v>
      </c>
      <c r="R170" s="4">
        <v>125</v>
      </c>
    </row>
    <row r="171" spans="1:18">
      <c r="A171" s="4" t="s">
        <v>444</v>
      </c>
      <c r="B171" s="4" t="s">
        <v>436</v>
      </c>
      <c r="C171" s="4" t="s">
        <v>194</v>
      </c>
      <c r="D171" s="27">
        <v>45244</v>
      </c>
      <c r="E171" s="4" t="s">
        <v>20</v>
      </c>
      <c r="F171" s="4" t="s">
        <v>21</v>
      </c>
      <c r="G171" s="4" t="s">
        <v>445</v>
      </c>
      <c r="H171" s="4" t="s">
        <v>31</v>
      </c>
      <c r="I171" s="4">
        <v>7</v>
      </c>
      <c r="J171" s="4" t="s">
        <v>120</v>
      </c>
      <c r="K171" s="4">
        <v>130</v>
      </c>
      <c r="L171" s="4">
        <v>3</v>
      </c>
      <c r="M171" s="4" t="s">
        <v>25</v>
      </c>
      <c r="N171" s="28">
        <v>0.323343486904457</v>
      </c>
      <c r="O171" s="4" t="s">
        <v>47</v>
      </c>
      <c r="P171" s="4">
        <v>390</v>
      </c>
      <c r="Q171" s="4">
        <v>264</v>
      </c>
      <c r="R171" s="4">
        <v>53</v>
      </c>
    </row>
    <row r="172" spans="1:18">
      <c r="A172" s="4" t="s">
        <v>446</v>
      </c>
      <c r="B172" s="4" t="s">
        <v>438</v>
      </c>
      <c r="C172" s="4" t="s">
        <v>197</v>
      </c>
      <c r="D172" s="27">
        <v>45249</v>
      </c>
      <c r="E172" s="4" t="s">
        <v>29</v>
      </c>
      <c r="F172" s="4" t="s">
        <v>21</v>
      </c>
      <c r="G172" s="4" t="s">
        <v>447</v>
      </c>
      <c r="H172" s="4" t="s">
        <v>40</v>
      </c>
      <c r="I172" s="4">
        <v>10</v>
      </c>
      <c r="J172" s="4" t="s">
        <v>124</v>
      </c>
      <c r="K172" s="4">
        <v>72</v>
      </c>
      <c r="L172" s="4">
        <v>5</v>
      </c>
      <c r="M172" s="4" t="s">
        <v>25</v>
      </c>
      <c r="N172" s="28">
        <v>0.211727639197149</v>
      </c>
      <c r="O172" s="4" t="s">
        <v>26</v>
      </c>
      <c r="P172" s="4">
        <v>360</v>
      </c>
      <c r="Q172" s="4">
        <v>284</v>
      </c>
      <c r="R172" s="4">
        <v>31</v>
      </c>
    </row>
    <row r="173" spans="1:18">
      <c r="A173" s="4" t="s">
        <v>448</v>
      </c>
      <c r="B173" s="4" t="s">
        <v>440</v>
      </c>
      <c r="C173" s="4" t="s">
        <v>200</v>
      </c>
      <c r="D173" s="27">
        <v>45242</v>
      </c>
      <c r="E173" s="4" t="s">
        <v>29</v>
      </c>
      <c r="F173" s="4" t="s">
        <v>21</v>
      </c>
      <c r="G173" s="4" t="s">
        <v>449</v>
      </c>
      <c r="H173" s="4" t="s">
        <v>23</v>
      </c>
      <c r="I173" s="4">
        <v>9</v>
      </c>
      <c r="J173" s="4" t="s">
        <v>128</v>
      </c>
      <c r="K173" s="4">
        <v>65</v>
      </c>
      <c r="L173" s="4">
        <v>10</v>
      </c>
      <c r="M173" s="4" t="s">
        <v>25</v>
      </c>
      <c r="N173" s="28">
        <v>0.998176581284897</v>
      </c>
      <c r="O173" s="4" t="s">
        <v>34</v>
      </c>
      <c r="P173" s="4">
        <v>650</v>
      </c>
      <c r="Q173" s="4">
        <v>1</v>
      </c>
      <c r="R173" s="4">
        <v>36</v>
      </c>
    </row>
    <row r="174" spans="1:18">
      <c r="A174" s="4" t="s">
        <v>450</v>
      </c>
      <c r="B174" s="4" t="s">
        <v>442</v>
      </c>
      <c r="C174" s="4" t="s">
        <v>203</v>
      </c>
      <c r="D174" s="27">
        <v>45256</v>
      </c>
      <c r="E174" s="4" t="s">
        <v>20</v>
      </c>
      <c r="F174" s="4" t="s">
        <v>38</v>
      </c>
      <c r="G174" s="4" t="s">
        <v>451</v>
      </c>
      <c r="H174" s="4" t="s">
        <v>31</v>
      </c>
      <c r="I174" s="4">
        <v>10</v>
      </c>
      <c r="J174" s="4" t="s">
        <v>132</v>
      </c>
      <c r="K174" s="4">
        <v>250</v>
      </c>
      <c r="L174" s="4">
        <v>3</v>
      </c>
      <c r="M174" s="4" t="s">
        <v>25</v>
      </c>
      <c r="N174" s="28">
        <v>0.343216614856252</v>
      </c>
      <c r="O174" s="4" t="s">
        <v>42</v>
      </c>
      <c r="P174" s="4">
        <v>750</v>
      </c>
      <c r="Q174" s="4">
        <v>493</v>
      </c>
      <c r="R174" s="4">
        <v>63</v>
      </c>
    </row>
    <row r="175" spans="1:18">
      <c r="A175" s="4" t="s">
        <v>452</v>
      </c>
      <c r="B175" s="4" t="s">
        <v>444</v>
      </c>
      <c r="C175" s="4" t="s">
        <v>28</v>
      </c>
      <c r="D175" s="27">
        <v>45248</v>
      </c>
      <c r="E175" s="4" t="s">
        <v>29</v>
      </c>
      <c r="F175" s="4" t="s">
        <v>21</v>
      </c>
      <c r="G175" s="4" t="s">
        <v>453</v>
      </c>
      <c r="H175" s="4" t="s">
        <v>40</v>
      </c>
      <c r="I175" s="4">
        <v>8</v>
      </c>
      <c r="J175" s="4" t="s">
        <v>136</v>
      </c>
      <c r="K175" s="4">
        <v>130</v>
      </c>
      <c r="L175" s="4">
        <v>6</v>
      </c>
      <c r="M175" s="4" t="s">
        <v>25</v>
      </c>
      <c r="N175" s="28">
        <v>0.176883635536531</v>
      </c>
      <c r="O175" s="4" t="s">
        <v>47</v>
      </c>
      <c r="P175" s="4">
        <v>780</v>
      </c>
      <c r="Q175" s="4">
        <v>642</v>
      </c>
      <c r="R175" s="4">
        <v>65</v>
      </c>
    </row>
    <row r="176" spans="1:18">
      <c r="A176" s="4" t="s">
        <v>454</v>
      </c>
      <c r="B176" s="4" t="s">
        <v>446</v>
      </c>
      <c r="C176" s="4" t="s">
        <v>36</v>
      </c>
      <c r="D176" s="27">
        <v>45232</v>
      </c>
      <c r="E176" s="4" t="s">
        <v>20</v>
      </c>
      <c r="F176" s="4" t="s">
        <v>21</v>
      </c>
      <c r="G176" s="4" t="s">
        <v>455</v>
      </c>
      <c r="H176" s="4" t="s">
        <v>23</v>
      </c>
      <c r="I176" s="4">
        <v>9</v>
      </c>
      <c r="J176" s="4" t="s">
        <v>141</v>
      </c>
      <c r="K176" s="4">
        <v>60</v>
      </c>
      <c r="L176" s="4">
        <v>12</v>
      </c>
      <c r="M176" s="4" t="s">
        <v>33</v>
      </c>
      <c r="N176" s="28">
        <v>0.548537635275607</v>
      </c>
      <c r="O176" s="4" t="s">
        <v>68</v>
      </c>
      <c r="P176" s="4">
        <v>720</v>
      </c>
      <c r="Q176" s="4">
        <v>325</v>
      </c>
      <c r="R176" s="4">
        <v>28</v>
      </c>
    </row>
    <row r="177" spans="1:18">
      <c r="A177" s="4" t="s">
        <v>456</v>
      </c>
      <c r="B177" s="4" t="s">
        <v>448</v>
      </c>
      <c r="C177" s="4" t="s">
        <v>44</v>
      </c>
      <c r="D177" s="27">
        <v>45233</v>
      </c>
      <c r="E177" s="4" t="s">
        <v>29</v>
      </c>
      <c r="F177" s="4" t="s">
        <v>21</v>
      </c>
      <c r="G177" s="4" t="s">
        <v>457</v>
      </c>
      <c r="H177" s="4" t="s">
        <v>31</v>
      </c>
      <c r="I177" s="4">
        <v>9</v>
      </c>
      <c r="J177" s="4" t="s">
        <v>24</v>
      </c>
      <c r="K177" s="4">
        <v>95</v>
      </c>
      <c r="L177" s="4">
        <v>7</v>
      </c>
      <c r="M177" s="4" t="s">
        <v>25</v>
      </c>
      <c r="N177" s="28">
        <v>0.406127292298949</v>
      </c>
      <c r="O177" s="4" t="s">
        <v>104</v>
      </c>
      <c r="P177" s="4">
        <v>665</v>
      </c>
      <c r="Q177" s="4">
        <v>395</v>
      </c>
      <c r="R177" s="4">
        <v>53</v>
      </c>
    </row>
    <row r="178" spans="1:18">
      <c r="A178" s="4" t="s">
        <v>458</v>
      </c>
      <c r="B178" s="4" t="s">
        <v>450</v>
      </c>
      <c r="C178" s="4" t="s">
        <v>49</v>
      </c>
      <c r="D178" s="27">
        <v>45247</v>
      </c>
      <c r="E178" s="4" t="s">
        <v>20</v>
      </c>
      <c r="F178" s="4" t="s">
        <v>21</v>
      </c>
      <c r="G178" s="4" t="s">
        <v>459</v>
      </c>
      <c r="H178" s="4" t="s">
        <v>40</v>
      </c>
      <c r="I178" s="4">
        <v>8</v>
      </c>
      <c r="J178" s="4" t="s">
        <v>32</v>
      </c>
      <c r="K178" s="4">
        <v>72</v>
      </c>
      <c r="L178" s="4">
        <v>6</v>
      </c>
      <c r="M178" s="4" t="s">
        <v>25</v>
      </c>
      <c r="N178" s="28">
        <v>0.167803000896386</v>
      </c>
      <c r="O178" s="4" t="s">
        <v>26</v>
      </c>
      <c r="P178" s="4">
        <v>432</v>
      </c>
      <c r="Q178" s="4">
        <v>360</v>
      </c>
      <c r="R178" s="4">
        <v>23</v>
      </c>
    </row>
    <row r="179" spans="1:18">
      <c r="A179" s="4" t="s">
        <v>460</v>
      </c>
      <c r="B179" s="4" t="s">
        <v>452</v>
      </c>
      <c r="C179" s="4"/>
      <c r="D179" s="27">
        <v>45241</v>
      </c>
      <c r="E179" s="4" t="s">
        <v>29</v>
      </c>
      <c r="F179" s="4" t="s">
        <v>21</v>
      </c>
      <c r="G179" s="4" t="s">
        <v>461</v>
      </c>
      <c r="H179" s="4" t="s">
        <v>23</v>
      </c>
      <c r="I179" s="4">
        <v>7</v>
      </c>
      <c r="J179" s="4" t="s">
        <v>86</v>
      </c>
      <c r="K179" s="4">
        <v>65</v>
      </c>
      <c r="L179" s="4">
        <v>10</v>
      </c>
      <c r="M179" s="4" t="s">
        <v>25</v>
      </c>
      <c r="N179" s="28">
        <v>0.910867777909416</v>
      </c>
      <c r="O179" s="4" t="s">
        <v>34</v>
      </c>
      <c r="P179" s="4">
        <v>650</v>
      </c>
      <c r="Q179" s="4">
        <v>58</v>
      </c>
      <c r="R179" s="4">
        <v>36</v>
      </c>
    </row>
    <row r="180" spans="1:18">
      <c r="A180" s="4" t="s">
        <v>462</v>
      </c>
      <c r="B180" s="4" t="s">
        <v>454</v>
      </c>
      <c r="C180" s="4" t="s">
        <v>61</v>
      </c>
      <c r="D180" s="27">
        <v>45260</v>
      </c>
      <c r="E180" s="4" t="s">
        <v>37</v>
      </c>
      <c r="F180" s="4" t="s">
        <v>38</v>
      </c>
      <c r="G180" s="4" t="s">
        <v>463</v>
      </c>
      <c r="H180" s="4" t="s">
        <v>31</v>
      </c>
      <c r="I180" s="4">
        <v>10</v>
      </c>
      <c r="J180" s="4" t="s">
        <v>89</v>
      </c>
      <c r="K180" s="4">
        <v>250</v>
      </c>
      <c r="L180" s="4">
        <v>3</v>
      </c>
      <c r="M180" s="4" t="s">
        <v>33</v>
      </c>
      <c r="N180" s="28">
        <v>0.273198549453689</v>
      </c>
      <c r="O180" s="4" t="s">
        <v>42</v>
      </c>
      <c r="P180" s="4">
        <v>750</v>
      </c>
      <c r="Q180" s="4">
        <v>545</v>
      </c>
      <c r="R180" s="4">
        <v>155</v>
      </c>
    </row>
    <row r="181" spans="1:18">
      <c r="A181" s="4" t="s">
        <v>464</v>
      </c>
      <c r="B181" s="4" t="s">
        <v>456</v>
      </c>
      <c r="C181" s="4" t="s">
        <v>61</v>
      </c>
      <c r="D181" s="27">
        <v>45240</v>
      </c>
      <c r="E181" s="4" t="s">
        <v>20</v>
      </c>
      <c r="F181" s="4" t="s">
        <v>21</v>
      </c>
      <c r="G181" s="4" t="s">
        <v>465</v>
      </c>
      <c r="H181" s="4" t="s">
        <v>40</v>
      </c>
      <c r="I181" s="4">
        <v>8</v>
      </c>
      <c r="J181" s="4" t="s">
        <v>93</v>
      </c>
      <c r="K181" s="4">
        <v>130</v>
      </c>
      <c r="L181" s="4">
        <v>4</v>
      </c>
      <c r="M181" s="4" t="s">
        <v>33</v>
      </c>
      <c r="N181" s="28">
        <v>0.819846627861784</v>
      </c>
      <c r="O181" s="4" t="s">
        <v>47</v>
      </c>
      <c r="P181" s="4">
        <v>520</v>
      </c>
      <c r="Q181" s="4">
        <v>94</v>
      </c>
      <c r="R181" s="4">
        <v>43</v>
      </c>
    </row>
    <row r="182" spans="1:18">
      <c r="A182" s="4" t="s">
        <v>466</v>
      </c>
      <c r="B182" s="4" t="s">
        <v>458</v>
      </c>
      <c r="C182" s="4" t="s">
        <v>65</v>
      </c>
      <c r="D182" s="27">
        <v>45248</v>
      </c>
      <c r="E182" s="4" t="s">
        <v>29</v>
      </c>
      <c r="F182" s="4" t="s">
        <v>21</v>
      </c>
      <c r="G182" s="4" t="s">
        <v>467</v>
      </c>
      <c r="H182" s="4" t="s">
        <v>23</v>
      </c>
      <c r="I182" s="4">
        <v>10</v>
      </c>
      <c r="J182" s="4" t="s">
        <v>96</v>
      </c>
      <c r="K182" s="4">
        <v>72</v>
      </c>
      <c r="L182" s="4">
        <v>7</v>
      </c>
      <c r="M182" s="4" t="s">
        <v>33</v>
      </c>
      <c r="N182" s="28">
        <v>0.899809340035437</v>
      </c>
      <c r="O182" s="4" t="s">
        <v>26</v>
      </c>
      <c r="P182" s="4">
        <v>504</v>
      </c>
      <c r="Q182" s="4">
        <v>50</v>
      </c>
      <c r="R182" s="4">
        <v>19</v>
      </c>
    </row>
    <row r="183" spans="1:18">
      <c r="A183" s="4" t="s">
        <v>468</v>
      </c>
      <c r="B183" s="4" t="s">
        <v>460</v>
      </c>
      <c r="C183" s="4" t="s">
        <v>222</v>
      </c>
      <c r="D183" s="27">
        <v>45258</v>
      </c>
      <c r="E183" s="4" t="s">
        <v>29</v>
      </c>
      <c r="F183" s="4" t="s">
        <v>21</v>
      </c>
      <c r="G183" s="4" t="s">
        <v>469</v>
      </c>
      <c r="H183" s="4" t="s">
        <v>31</v>
      </c>
      <c r="I183" s="4">
        <v>7</v>
      </c>
      <c r="J183" s="4" t="s">
        <v>58</v>
      </c>
      <c r="K183" s="4">
        <v>65</v>
      </c>
      <c r="L183" s="4">
        <v>5</v>
      </c>
      <c r="M183" s="4" t="s">
        <v>33</v>
      </c>
      <c r="N183" s="28">
        <v>0.735223474526257</v>
      </c>
      <c r="O183" s="4" t="s">
        <v>34</v>
      </c>
      <c r="P183" s="4">
        <v>325</v>
      </c>
      <c r="Q183" s="4">
        <v>86</v>
      </c>
      <c r="R183" s="4">
        <v>33</v>
      </c>
    </row>
    <row r="184" spans="1:18">
      <c r="A184" s="4" t="s">
        <v>470</v>
      </c>
      <c r="B184" s="4" t="s">
        <v>462</v>
      </c>
      <c r="C184" s="4" t="s">
        <v>73</v>
      </c>
      <c r="D184" s="27">
        <v>45233</v>
      </c>
      <c r="E184" s="4" t="s">
        <v>20</v>
      </c>
      <c r="F184" s="4" t="s">
        <v>21</v>
      </c>
      <c r="G184" s="4" t="s">
        <v>471</v>
      </c>
      <c r="H184" s="4" t="s">
        <v>40</v>
      </c>
      <c r="I184" s="4">
        <v>7</v>
      </c>
      <c r="J184" s="4" t="s">
        <v>63</v>
      </c>
      <c r="K184" s="4">
        <v>250</v>
      </c>
      <c r="L184" s="4">
        <v>3</v>
      </c>
      <c r="M184" s="4" t="s">
        <v>33</v>
      </c>
      <c r="N184" s="28">
        <v>0.365792133389301</v>
      </c>
      <c r="O184" s="4" t="s">
        <v>42</v>
      </c>
      <c r="P184" s="4">
        <v>750</v>
      </c>
      <c r="Q184" s="4">
        <v>476</v>
      </c>
      <c r="R184" s="4">
        <v>138</v>
      </c>
    </row>
    <row r="185" spans="1:18">
      <c r="A185" s="4" t="s">
        <v>472</v>
      </c>
      <c r="B185" s="4" t="s">
        <v>464</v>
      </c>
      <c r="C185" s="4" t="s">
        <v>77</v>
      </c>
      <c r="D185" s="27">
        <v>45231</v>
      </c>
      <c r="E185" s="4" t="s">
        <v>29</v>
      </c>
      <c r="F185" s="4" t="s">
        <v>21</v>
      </c>
      <c r="G185" s="4" t="s">
        <v>473</v>
      </c>
      <c r="H185" s="4" t="s">
        <v>23</v>
      </c>
      <c r="I185" s="4">
        <v>10</v>
      </c>
      <c r="J185" s="4" t="s">
        <v>67</v>
      </c>
      <c r="K185" s="4">
        <v>130</v>
      </c>
      <c r="L185" s="4">
        <v>2</v>
      </c>
      <c r="M185" s="4" t="s">
        <v>33</v>
      </c>
      <c r="N185" s="28">
        <v>0.793136424400332</v>
      </c>
      <c r="O185" s="4" t="s">
        <v>47</v>
      </c>
      <c r="P185" s="4">
        <v>260</v>
      </c>
      <c r="Q185" s="4">
        <v>54</v>
      </c>
      <c r="R185" s="4">
        <v>47</v>
      </c>
    </row>
    <row r="186" spans="1:18">
      <c r="A186" s="4" t="s">
        <v>474</v>
      </c>
      <c r="B186" s="4" t="s">
        <v>466</v>
      </c>
      <c r="C186" s="4" t="s">
        <v>229</v>
      </c>
      <c r="D186" s="27">
        <v>45249</v>
      </c>
      <c r="E186" s="4" t="s">
        <v>20</v>
      </c>
      <c r="F186" s="4" t="s">
        <v>21</v>
      </c>
      <c r="G186" s="4" t="s">
        <v>475</v>
      </c>
      <c r="H186" s="4" t="s">
        <v>31</v>
      </c>
      <c r="I186" s="4">
        <v>9</v>
      </c>
      <c r="J186" s="4" t="s">
        <v>103</v>
      </c>
      <c r="K186" s="4">
        <v>72</v>
      </c>
      <c r="L186" s="4">
        <v>4</v>
      </c>
      <c r="M186" s="4" t="s">
        <v>25</v>
      </c>
      <c r="N186" s="28">
        <v>0.0804076649795646</v>
      </c>
      <c r="O186" s="4" t="s">
        <v>26</v>
      </c>
      <c r="P186" s="4">
        <v>288</v>
      </c>
      <c r="Q186" s="4">
        <v>265</v>
      </c>
      <c r="R186" s="4">
        <v>35</v>
      </c>
    </row>
    <row r="187" spans="1:18">
      <c r="A187" s="4" t="s">
        <v>476</v>
      </c>
      <c r="B187" s="4" t="s">
        <v>468</v>
      </c>
      <c r="C187" s="4" t="s">
        <v>84</v>
      </c>
      <c r="D187" s="27">
        <v>45233</v>
      </c>
      <c r="E187" s="4" t="s">
        <v>29</v>
      </c>
      <c r="F187" s="4" t="s">
        <v>21</v>
      </c>
      <c r="G187" s="4" t="s">
        <v>477</v>
      </c>
      <c r="H187" s="4" t="s">
        <v>40</v>
      </c>
      <c r="I187" s="4">
        <v>9</v>
      </c>
      <c r="J187" s="4" t="s">
        <v>108</v>
      </c>
      <c r="K187" s="4">
        <v>65</v>
      </c>
      <c r="L187" s="4">
        <v>12</v>
      </c>
      <c r="M187" s="4" t="s">
        <v>33</v>
      </c>
      <c r="N187" s="28">
        <v>0.385259360967818</v>
      </c>
      <c r="O187" s="4" t="s">
        <v>34</v>
      </c>
      <c r="P187" s="4">
        <v>780</v>
      </c>
      <c r="Q187" s="4">
        <v>479</v>
      </c>
      <c r="R187" s="4">
        <v>29</v>
      </c>
    </row>
    <row r="188" spans="1:18">
      <c r="A188" s="4" t="s">
        <v>478</v>
      </c>
      <c r="B188" s="4" t="s">
        <v>470</v>
      </c>
      <c r="C188" s="4" t="s">
        <v>200</v>
      </c>
      <c r="D188" s="27">
        <v>45237</v>
      </c>
      <c r="E188" s="4" t="s">
        <v>29</v>
      </c>
      <c r="F188" s="4" t="s">
        <v>21</v>
      </c>
      <c r="G188" s="4" t="s">
        <v>479</v>
      </c>
      <c r="H188" s="4" t="s">
        <v>23</v>
      </c>
      <c r="I188" s="4">
        <v>7</v>
      </c>
      <c r="J188" s="4" t="s">
        <v>112</v>
      </c>
      <c r="K188" s="4">
        <v>250</v>
      </c>
      <c r="L188" s="4">
        <v>1</v>
      </c>
      <c r="M188" s="4" t="s">
        <v>25</v>
      </c>
      <c r="N188" s="28">
        <v>0.455071770713259</v>
      </c>
      <c r="O188" s="4" t="s">
        <v>42</v>
      </c>
      <c r="P188" s="4">
        <v>250</v>
      </c>
      <c r="Q188" s="4">
        <v>136</v>
      </c>
      <c r="R188" s="4">
        <v>130</v>
      </c>
    </row>
    <row r="189" spans="1:18">
      <c r="A189" s="4" t="s">
        <v>480</v>
      </c>
      <c r="B189" s="4" t="s">
        <v>472</v>
      </c>
      <c r="C189" s="4" t="s">
        <v>203</v>
      </c>
      <c r="D189" s="27">
        <v>45256</v>
      </c>
      <c r="E189" s="4" t="s">
        <v>20</v>
      </c>
      <c r="F189" s="4" t="s">
        <v>21</v>
      </c>
      <c r="G189" s="4" t="s">
        <v>481</v>
      </c>
      <c r="H189" s="4" t="s">
        <v>31</v>
      </c>
      <c r="I189" s="4">
        <v>10</v>
      </c>
      <c r="J189" s="4" t="s">
        <v>116</v>
      </c>
      <c r="K189" s="4">
        <v>130</v>
      </c>
      <c r="L189" s="4">
        <v>4</v>
      </c>
      <c r="M189" s="4" t="s">
        <v>33</v>
      </c>
      <c r="N189" s="28">
        <v>0.938270313373121</v>
      </c>
      <c r="O189" s="4" t="s">
        <v>47</v>
      </c>
      <c r="P189" s="4">
        <v>520</v>
      </c>
      <c r="Q189" s="4">
        <v>32</v>
      </c>
      <c r="R189" s="4">
        <v>35</v>
      </c>
    </row>
    <row r="190" spans="1:18">
      <c r="A190" s="4" t="s">
        <v>482</v>
      </c>
      <c r="B190" s="4" t="s">
        <v>474</v>
      </c>
      <c r="C190" s="4" t="s">
        <v>28</v>
      </c>
      <c r="D190" s="27">
        <v>45249</v>
      </c>
      <c r="E190" s="4" t="s">
        <v>29</v>
      </c>
      <c r="F190" s="4" t="s">
        <v>21</v>
      </c>
      <c r="G190" s="4" t="s">
        <v>483</v>
      </c>
      <c r="H190" s="4" t="s">
        <v>40</v>
      </c>
      <c r="I190" s="4">
        <v>7</v>
      </c>
      <c r="J190" s="4" t="s">
        <v>120</v>
      </c>
      <c r="K190" s="4">
        <v>72</v>
      </c>
      <c r="L190" s="4">
        <v>7</v>
      </c>
      <c r="M190" s="4" t="s">
        <v>25</v>
      </c>
      <c r="N190" s="28">
        <v>0.14716035331195</v>
      </c>
      <c r="O190" s="4" t="s">
        <v>26</v>
      </c>
      <c r="P190" s="4">
        <v>504</v>
      </c>
      <c r="Q190" s="4">
        <v>430</v>
      </c>
      <c r="R190" s="4">
        <v>36</v>
      </c>
    </row>
    <row r="191" spans="1:18">
      <c r="A191" s="4" t="s">
        <v>484</v>
      </c>
      <c r="B191" s="4" t="s">
        <v>476</v>
      </c>
      <c r="C191" s="4" t="s">
        <v>36</v>
      </c>
      <c r="D191" s="27">
        <v>45235</v>
      </c>
      <c r="E191" s="4" t="s">
        <v>29</v>
      </c>
      <c r="F191" s="4" t="s">
        <v>21</v>
      </c>
      <c r="G191" s="4" t="s">
        <v>485</v>
      </c>
      <c r="H191" s="4" t="s">
        <v>23</v>
      </c>
      <c r="I191" s="4">
        <v>7</v>
      </c>
      <c r="J191" s="4" t="s">
        <v>124</v>
      </c>
      <c r="K191" s="4">
        <v>65</v>
      </c>
      <c r="L191" s="4">
        <v>12</v>
      </c>
      <c r="M191" s="4" t="s">
        <v>33</v>
      </c>
      <c r="N191" s="28">
        <v>0.101598670430136</v>
      </c>
      <c r="O191" s="4" t="s">
        <v>34</v>
      </c>
      <c r="P191" s="4">
        <v>780</v>
      </c>
      <c r="Q191" s="4">
        <v>701</v>
      </c>
      <c r="R191" s="4">
        <v>34</v>
      </c>
    </row>
    <row r="192" spans="1:18">
      <c r="A192" s="4" t="s">
        <v>486</v>
      </c>
      <c r="B192" s="4" t="s">
        <v>478</v>
      </c>
      <c r="C192" s="4" t="s">
        <v>44</v>
      </c>
      <c r="D192" s="27">
        <v>45233</v>
      </c>
      <c r="E192" s="4" t="s">
        <v>20</v>
      </c>
      <c r="F192" s="4" t="s">
        <v>21</v>
      </c>
      <c r="G192" s="4" t="s">
        <v>487</v>
      </c>
      <c r="H192" s="4" t="s">
        <v>31</v>
      </c>
      <c r="I192" s="4">
        <v>8</v>
      </c>
      <c r="J192" s="4" t="s">
        <v>128</v>
      </c>
      <c r="K192" s="4">
        <v>250</v>
      </c>
      <c r="L192" s="4">
        <v>2</v>
      </c>
      <c r="M192" s="4" t="s">
        <v>25</v>
      </c>
      <c r="N192" s="28">
        <v>0.500607883997095</v>
      </c>
      <c r="O192" s="4" t="s">
        <v>42</v>
      </c>
      <c r="P192" s="4">
        <v>500</v>
      </c>
      <c r="Q192" s="4">
        <v>250</v>
      </c>
      <c r="R192" s="4">
        <v>135</v>
      </c>
    </row>
    <row r="193" spans="1:18">
      <c r="A193" s="4" t="s">
        <v>488</v>
      </c>
      <c r="B193" s="4" t="s">
        <v>480</v>
      </c>
      <c r="C193" s="4" t="s">
        <v>49</v>
      </c>
      <c r="D193" s="27">
        <v>45243</v>
      </c>
      <c r="E193" s="4" t="s">
        <v>29</v>
      </c>
      <c r="F193" s="4" t="s">
        <v>21</v>
      </c>
      <c r="G193" s="4" t="s">
        <v>489</v>
      </c>
      <c r="H193" s="4" t="s">
        <v>40</v>
      </c>
      <c r="I193" s="4">
        <v>7</v>
      </c>
      <c r="J193" s="4" t="s">
        <v>63</v>
      </c>
      <c r="K193" s="4">
        <v>130</v>
      </c>
      <c r="L193" s="4">
        <v>6</v>
      </c>
      <c r="M193" s="4" t="s">
        <v>33</v>
      </c>
      <c r="N193" s="28">
        <v>0.705396430218346</v>
      </c>
      <c r="O193" s="4" t="s">
        <v>47</v>
      </c>
      <c r="P193" s="4">
        <v>780</v>
      </c>
      <c r="Q193" s="4">
        <v>230</v>
      </c>
      <c r="R193" s="4">
        <v>57</v>
      </c>
    </row>
    <row r="194" spans="1:18">
      <c r="A194" s="4" t="s">
        <v>490</v>
      </c>
      <c r="B194" s="4" t="s">
        <v>482</v>
      </c>
      <c r="C194" s="4" t="s">
        <v>53</v>
      </c>
      <c r="D194" s="27">
        <v>45239</v>
      </c>
      <c r="E194" s="4" t="s">
        <v>20</v>
      </c>
      <c r="F194" s="4" t="s">
        <v>21</v>
      </c>
      <c r="G194" s="4" t="s">
        <v>491</v>
      </c>
      <c r="H194" s="4" t="s">
        <v>23</v>
      </c>
      <c r="I194" s="4">
        <v>10</v>
      </c>
      <c r="J194" s="4" t="s">
        <v>67</v>
      </c>
      <c r="K194" s="4">
        <v>60</v>
      </c>
      <c r="L194" s="4">
        <v>12</v>
      </c>
      <c r="M194" s="4" t="s">
        <v>25</v>
      </c>
      <c r="N194" s="28">
        <v>0.724813790322394</v>
      </c>
      <c r="O194" s="4" t="s">
        <v>68</v>
      </c>
      <c r="P194" s="4">
        <v>720</v>
      </c>
      <c r="Q194" s="4">
        <v>198</v>
      </c>
      <c r="R194" s="4">
        <v>29</v>
      </c>
    </row>
    <row r="195" spans="1:18">
      <c r="A195" s="4" t="s">
        <v>492</v>
      </c>
      <c r="B195" s="4" t="s">
        <v>484</v>
      </c>
      <c r="C195" s="4" t="s">
        <v>61</v>
      </c>
      <c r="D195" s="27">
        <v>45248</v>
      </c>
      <c r="E195" s="4" t="s">
        <v>29</v>
      </c>
      <c r="F195" s="4" t="s">
        <v>21</v>
      </c>
      <c r="G195" s="4" t="s">
        <v>493</v>
      </c>
      <c r="H195" s="4" t="s">
        <v>31</v>
      </c>
      <c r="I195" s="4">
        <v>7</v>
      </c>
      <c r="J195" s="4" t="s">
        <v>71</v>
      </c>
      <c r="K195" s="4">
        <v>72</v>
      </c>
      <c r="L195" s="4">
        <v>6</v>
      </c>
      <c r="M195" s="4" t="s">
        <v>33</v>
      </c>
      <c r="N195" s="28">
        <v>0.218331219555445</v>
      </c>
      <c r="O195" s="4" t="s">
        <v>26</v>
      </c>
      <c r="P195" s="4">
        <v>432</v>
      </c>
      <c r="Q195" s="4">
        <v>338</v>
      </c>
      <c r="R195" s="4">
        <v>42</v>
      </c>
    </row>
    <row r="196" spans="1:18">
      <c r="A196" s="4" t="s">
        <v>494</v>
      </c>
      <c r="B196" s="4" t="s">
        <v>486</v>
      </c>
      <c r="C196" s="4" t="s">
        <v>61</v>
      </c>
      <c r="D196" s="27">
        <v>45248</v>
      </c>
      <c r="E196" s="4" t="s">
        <v>20</v>
      </c>
      <c r="F196" s="4" t="s">
        <v>21</v>
      </c>
      <c r="G196" s="4" t="s">
        <v>495</v>
      </c>
      <c r="H196" s="4" t="s">
        <v>40</v>
      </c>
      <c r="I196" s="4">
        <v>10</v>
      </c>
      <c r="J196" s="4" t="s">
        <v>132</v>
      </c>
      <c r="K196" s="4">
        <v>65</v>
      </c>
      <c r="L196" s="4">
        <v>8</v>
      </c>
      <c r="M196" s="4" t="s">
        <v>25</v>
      </c>
      <c r="N196" s="28">
        <v>0.332535244539529</v>
      </c>
      <c r="O196" s="4" t="s">
        <v>34</v>
      </c>
      <c r="P196" s="4">
        <v>520</v>
      </c>
      <c r="Q196" s="4">
        <v>347</v>
      </c>
      <c r="R196" s="4">
        <v>25</v>
      </c>
    </row>
    <row r="197" spans="1:18">
      <c r="A197" s="4" t="s">
        <v>496</v>
      </c>
      <c r="B197" s="4" t="s">
        <v>488</v>
      </c>
      <c r="C197" s="4"/>
      <c r="D197" s="27">
        <v>45233</v>
      </c>
      <c r="E197" s="4" t="s">
        <v>29</v>
      </c>
      <c r="F197" s="4" t="s">
        <v>21</v>
      </c>
      <c r="G197" s="4" t="s">
        <v>497</v>
      </c>
      <c r="H197" s="4" t="s">
        <v>23</v>
      </c>
      <c r="I197" s="4">
        <v>7</v>
      </c>
      <c r="J197" s="4" t="s">
        <v>136</v>
      </c>
      <c r="K197" s="4">
        <v>250</v>
      </c>
      <c r="L197" s="4">
        <v>2</v>
      </c>
      <c r="M197" s="4" t="s">
        <v>33</v>
      </c>
      <c r="N197" s="28">
        <v>0.39793552100289</v>
      </c>
      <c r="O197" s="4" t="s">
        <v>42</v>
      </c>
      <c r="P197" s="4">
        <v>500</v>
      </c>
      <c r="Q197" s="4">
        <v>301</v>
      </c>
      <c r="R197" s="4">
        <v>70</v>
      </c>
    </row>
    <row r="198" spans="1:18">
      <c r="A198" s="4" t="s">
        <v>498</v>
      </c>
      <c r="B198" s="4" t="s">
        <v>490</v>
      </c>
      <c r="C198" s="4" t="s">
        <v>53</v>
      </c>
      <c r="D198" s="27">
        <v>45253</v>
      </c>
      <c r="E198" s="4" t="s">
        <v>37</v>
      </c>
      <c r="F198" s="4" t="s">
        <v>21</v>
      </c>
      <c r="G198" s="4" t="s">
        <v>499</v>
      </c>
      <c r="H198" s="4" t="s">
        <v>31</v>
      </c>
      <c r="I198" s="4">
        <v>9</v>
      </c>
      <c r="J198" s="4" t="s">
        <v>141</v>
      </c>
      <c r="K198" s="4">
        <v>130</v>
      </c>
      <c r="L198" s="4">
        <v>4</v>
      </c>
      <c r="M198" s="4" t="s">
        <v>25</v>
      </c>
      <c r="N198" s="28">
        <v>0.835195330886413</v>
      </c>
      <c r="O198" s="4" t="s">
        <v>47</v>
      </c>
      <c r="P198" s="4">
        <v>520</v>
      </c>
      <c r="Q198" s="4">
        <v>86</v>
      </c>
      <c r="R198" s="4">
        <v>40</v>
      </c>
    </row>
    <row r="199" spans="1:18">
      <c r="A199" s="4" t="s">
        <v>500</v>
      </c>
      <c r="B199" s="4" t="s">
        <v>492</v>
      </c>
      <c r="C199" s="4" t="s">
        <v>73</v>
      </c>
      <c r="D199" s="27">
        <v>45247</v>
      </c>
      <c r="E199" s="4" t="s">
        <v>20</v>
      </c>
      <c r="F199" s="4" t="s">
        <v>21</v>
      </c>
      <c r="G199" s="4" t="s">
        <v>501</v>
      </c>
      <c r="H199" s="4" t="s">
        <v>40</v>
      </c>
      <c r="I199" s="4">
        <v>7</v>
      </c>
      <c r="J199" s="4" t="s">
        <v>24</v>
      </c>
      <c r="K199" s="4">
        <v>72</v>
      </c>
      <c r="L199" s="4">
        <v>10</v>
      </c>
      <c r="M199" s="4" t="s">
        <v>33</v>
      </c>
      <c r="N199" s="28">
        <v>0.00873122087991018</v>
      </c>
      <c r="O199" s="4" t="s">
        <v>26</v>
      </c>
      <c r="P199" s="4">
        <v>720</v>
      </c>
      <c r="Q199" s="4">
        <v>714</v>
      </c>
      <c r="R199" s="4">
        <v>37</v>
      </c>
    </row>
    <row r="200" spans="1:18">
      <c r="A200" s="4" t="s">
        <v>502</v>
      </c>
      <c r="B200" s="4" t="s">
        <v>494</v>
      </c>
      <c r="C200" s="4" t="s">
        <v>77</v>
      </c>
      <c r="D200" s="27">
        <v>45238</v>
      </c>
      <c r="E200" s="4" t="s">
        <v>29</v>
      </c>
      <c r="F200" s="4" t="s">
        <v>21</v>
      </c>
      <c r="G200" s="4" t="s">
        <v>503</v>
      </c>
      <c r="H200" s="4" t="s">
        <v>23</v>
      </c>
      <c r="I200" s="4">
        <v>8</v>
      </c>
      <c r="J200" s="4" t="s">
        <v>32</v>
      </c>
      <c r="K200" s="4">
        <v>65</v>
      </c>
      <c r="L200" s="4">
        <v>12</v>
      </c>
      <c r="M200" s="4" t="s">
        <v>25</v>
      </c>
      <c r="N200" s="28">
        <v>0.950716365569127</v>
      </c>
      <c r="O200" s="4" t="s">
        <v>34</v>
      </c>
      <c r="P200" s="4">
        <v>780</v>
      </c>
      <c r="Q200" s="4">
        <v>38</v>
      </c>
      <c r="R200" s="4">
        <v>18</v>
      </c>
    </row>
    <row r="201" spans="1:18">
      <c r="A201" s="4" t="s">
        <v>504</v>
      </c>
      <c r="B201" s="4" t="s">
        <v>496</v>
      </c>
      <c r="C201" s="4" t="s">
        <v>229</v>
      </c>
      <c r="D201" s="27">
        <v>45246</v>
      </c>
      <c r="E201" s="4" t="s">
        <v>29</v>
      </c>
      <c r="F201" s="4" t="s">
        <v>21</v>
      </c>
      <c r="G201" s="4" t="s">
        <v>505</v>
      </c>
      <c r="H201" s="4" t="s">
        <v>23</v>
      </c>
      <c r="I201" s="4">
        <v>10</v>
      </c>
      <c r="J201" s="4" t="s">
        <v>86</v>
      </c>
      <c r="K201" s="4">
        <v>250</v>
      </c>
      <c r="L201" s="4">
        <v>4</v>
      </c>
      <c r="M201" s="4" t="s">
        <v>33</v>
      </c>
      <c r="N201" s="28">
        <v>0.0651107708719392</v>
      </c>
      <c r="O201" s="4" t="s">
        <v>42</v>
      </c>
      <c r="P201" s="4">
        <v>1000</v>
      </c>
      <c r="Q201" s="4">
        <v>935</v>
      </c>
      <c r="R201" s="4">
        <v>135</v>
      </c>
    </row>
    <row r="202" spans="1:18">
      <c r="A202" s="4" t="s">
        <v>506</v>
      </c>
      <c r="B202" s="4" t="s">
        <v>498</v>
      </c>
      <c r="C202" s="4" t="s">
        <v>84</v>
      </c>
      <c r="D202" s="27">
        <v>45251</v>
      </c>
      <c r="E202" s="4" t="s">
        <v>20</v>
      </c>
      <c r="F202" s="4" t="s">
        <v>38</v>
      </c>
      <c r="G202" s="4" t="s">
        <v>507</v>
      </c>
      <c r="H202" s="4" t="s">
        <v>23</v>
      </c>
      <c r="I202" s="4">
        <v>9</v>
      </c>
      <c r="J202" s="4" t="s">
        <v>89</v>
      </c>
      <c r="K202" s="4">
        <v>130</v>
      </c>
      <c r="L202" s="4">
        <v>6</v>
      </c>
      <c r="M202" s="4" t="s">
        <v>25</v>
      </c>
      <c r="N202" s="28">
        <v>0.437720245132658</v>
      </c>
      <c r="O202" s="4" t="s">
        <v>47</v>
      </c>
      <c r="P202" s="4">
        <v>780</v>
      </c>
      <c r="Q202" s="4">
        <v>439</v>
      </c>
      <c r="R202" s="4">
        <v>62</v>
      </c>
    </row>
    <row r="203" spans="1:18">
      <c r="A203" s="4" t="s">
        <v>508</v>
      </c>
      <c r="B203" s="4" t="s">
        <v>500</v>
      </c>
      <c r="C203" s="4" t="s">
        <v>53</v>
      </c>
      <c r="D203" s="27">
        <v>45235</v>
      </c>
      <c r="E203" s="4" t="s">
        <v>29</v>
      </c>
      <c r="F203" s="4" t="s">
        <v>21</v>
      </c>
      <c r="G203" s="4" t="s">
        <v>509</v>
      </c>
      <c r="H203" s="4" t="s">
        <v>31</v>
      </c>
      <c r="I203" s="4">
        <v>7</v>
      </c>
      <c r="J203" s="4" t="s">
        <v>93</v>
      </c>
      <c r="K203" s="4">
        <v>60</v>
      </c>
      <c r="L203" s="4">
        <v>7</v>
      </c>
      <c r="M203" s="4" t="s">
        <v>25</v>
      </c>
      <c r="N203" s="28">
        <v>0.418536638401695</v>
      </c>
      <c r="O203" s="4" t="s">
        <v>68</v>
      </c>
      <c r="P203" s="4">
        <v>420</v>
      </c>
      <c r="Q203" s="4">
        <v>244</v>
      </c>
      <c r="R203" s="4">
        <v>37</v>
      </c>
    </row>
    <row r="204" spans="1:18">
      <c r="A204" s="4" t="s">
        <v>510</v>
      </c>
      <c r="B204" s="4" t="s">
        <v>502</v>
      </c>
      <c r="C204" s="4" t="s">
        <v>91</v>
      </c>
      <c r="D204" s="27">
        <v>45248</v>
      </c>
      <c r="E204" s="4" t="s">
        <v>20</v>
      </c>
      <c r="F204" s="4" t="s">
        <v>21</v>
      </c>
      <c r="G204" s="4" t="s">
        <v>511</v>
      </c>
      <c r="H204" s="4" t="s">
        <v>40</v>
      </c>
      <c r="I204" s="4">
        <v>8</v>
      </c>
      <c r="J204" s="4" t="s">
        <v>96</v>
      </c>
      <c r="K204" s="4">
        <v>95</v>
      </c>
      <c r="L204" s="4">
        <v>7</v>
      </c>
      <c r="M204" s="4" t="s">
        <v>33</v>
      </c>
      <c r="N204" s="28">
        <v>0.388241658458128</v>
      </c>
      <c r="O204" s="4" t="s">
        <v>104</v>
      </c>
      <c r="P204" s="4">
        <v>665</v>
      </c>
      <c r="Q204" s="4">
        <v>407</v>
      </c>
      <c r="R204" s="4">
        <v>41</v>
      </c>
    </row>
    <row r="205" spans="1:18">
      <c r="A205" s="4" t="s">
        <v>512</v>
      </c>
      <c r="B205" s="4" t="s">
        <v>504</v>
      </c>
      <c r="C205" s="4" t="s">
        <v>77</v>
      </c>
      <c r="D205" s="27">
        <v>45247</v>
      </c>
      <c r="E205" s="4" t="s">
        <v>29</v>
      </c>
      <c r="F205" s="4" t="s">
        <v>21</v>
      </c>
      <c r="G205" s="4" t="s">
        <v>513</v>
      </c>
      <c r="H205" s="4" t="s">
        <v>23</v>
      </c>
      <c r="I205" s="4">
        <v>7</v>
      </c>
      <c r="J205" s="4" t="s">
        <v>58</v>
      </c>
      <c r="K205" s="4">
        <v>72</v>
      </c>
      <c r="L205" s="4">
        <v>3</v>
      </c>
      <c r="M205" s="4" t="s">
        <v>33</v>
      </c>
      <c r="N205" s="28">
        <v>0.754340606987339</v>
      </c>
      <c r="O205" s="4" t="s">
        <v>26</v>
      </c>
      <c r="P205" s="4">
        <v>216</v>
      </c>
      <c r="Q205" s="4">
        <v>53</v>
      </c>
      <c r="R205" s="4">
        <v>44</v>
      </c>
    </row>
    <row r="206" spans="1:18">
      <c r="A206" s="4" t="s">
        <v>514</v>
      </c>
      <c r="B206" s="4" t="s">
        <v>506</v>
      </c>
      <c r="C206" s="4" t="s">
        <v>49</v>
      </c>
      <c r="D206" s="27">
        <v>45248</v>
      </c>
      <c r="E206" s="4" t="s">
        <v>29</v>
      </c>
      <c r="F206" s="4" t="s">
        <v>21</v>
      </c>
      <c r="G206" s="4" t="s">
        <v>515</v>
      </c>
      <c r="H206" s="4" t="s">
        <v>31</v>
      </c>
      <c r="I206" s="4">
        <v>9</v>
      </c>
      <c r="J206" s="4" t="s">
        <v>63</v>
      </c>
      <c r="K206" s="4">
        <v>65</v>
      </c>
      <c r="L206" s="4">
        <v>12</v>
      </c>
      <c r="M206" s="4" t="s">
        <v>33</v>
      </c>
      <c r="N206" s="28">
        <v>0.615873817000205</v>
      </c>
      <c r="O206" s="4" t="s">
        <v>34</v>
      </c>
      <c r="P206" s="4">
        <v>780</v>
      </c>
      <c r="Q206" s="4">
        <v>300</v>
      </c>
      <c r="R206" s="4">
        <v>28</v>
      </c>
    </row>
    <row r="207" spans="1:18">
      <c r="A207" s="4" t="s">
        <v>516</v>
      </c>
      <c r="B207" s="4" t="s">
        <v>508</v>
      </c>
      <c r="C207" s="4" t="s">
        <v>101</v>
      </c>
      <c r="D207" s="27">
        <v>45236</v>
      </c>
      <c r="E207" s="4" t="s">
        <v>20</v>
      </c>
      <c r="F207" s="4" t="s">
        <v>21</v>
      </c>
      <c r="G207" s="4" t="s">
        <v>517</v>
      </c>
      <c r="H207" s="4" t="s">
        <v>40</v>
      </c>
      <c r="I207" s="4">
        <v>10</v>
      </c>
      <c r="J207" s="4" t="s">
        <v>67</v>
      </c>
      <c r="K207" s="4">
        <v>250</v>
      </c>
      <c r="L207" s="4">
        <v>2</v>
      </c>
      <c r="M207" s="4" t="s">
        <v>25</v>
      </c>
      <c r="N207" s="28">
        <v>0.800068887567625</v>
      </c>
      <c r="O207" s="4" t="s">
        <v>42</v>
      </c>
      <c r="P207" s="4">
        <v>500</v>
      </c>
      <c r="Q207" s="4">
        <v>100</v>
      </c>
      <c r="R207" s="4">
        <v>110</v>
      </c>
    </row>
    <row r="208" spans="1:18">
      <c r="A208" s="4" t="s">
        <v>518</v>
      </c>
      <c r="B208" s="4" t="s">
        <v>510</v>
      </c>
      <c r="C208" s="4" t="s">
        <v>106</v>
      </c>
      <c r="D208" s="27">
        <v>45254</v>
      </c>
      <c r="E208" s="4" t="s">
        <v>29</v>
      </c>
      <c r="F208" s="4" t="s">
        <v>38</v>
      </c>
      <c r="G208" s="4" t="s">
        <v>519</v>
      </c>
      <c r="H208" s="4" t="s">
        <v>23</v>
      </c>
      <c r="I208" s="4">
        <v>7</v>
      </c>
      <c r="J208" s="4" t="s">
        <v>103</v>
      </c>
      <c r="K208" s="4">
        <v>130</v>
      </c>
      <c r="L208" s="4">
        <v>5</v>
      </c>
      <c r="M208" s="4" t="s">
        <v>25</v>
      </c>
      <c r="N208" s="28">
        <v>0.682289496836152</v>
      </c>
      <c r="O208" s="4" t="s">
        <v>47</v>
      </c>
      <c r="P208" s="4">
        <v>650</v>
      </c>
      <c r="Q208" s="4">
        <v>207</v>
      </c>
      <c r="R208" s="4">
        <v>34</v>
      </c>
    </row>
    <row r="209" spans="1:18">
      <c r="A209" s="4" t="s">
        <v>520</v>
      </c>
      <c r="B209" s="4" t="s">
        <v>512</v>
      </c>
      <c r="C209" s="4" t="s">
        <v>110</v>
      </c>
      <c r="D209" s="27">
        <v>45241</v>
      </c>
      <c r="E209" s="4" t="s">
        <v>29</v>
      </c>
      <c r="F209" s="4" t="s">
        <v>21</v>
      </c>
      <c r="G209" s="4" t="s">
        <v>521</v>
      </c>
      <c r="H209" s="4" t="s">
        <v>31</v>
      </c>
      <c r="I209" s="4">
        <v>7</v>
      </c>
      <c r="J209" s="4" t="s">
        <v>108</v>
      </c>
      <c r="K209" s="4">
        <v>72</v>
      </c>
      <c r="L209" s="4">
        <v>10</v>
      </c>
      <c r="M209" s="4" t="s">
        <v>25</v>
      </c>
      <c r="N209" s="28">
        <v>0.0164795090068773</v>
      </c>
      <c r="O209" s="4" t="s">
        <v>26</v>
      </c>
      <c r="P209" s="4">
        <v>720</v>
      </c>
      <c r="Q209" s="4">
        <v>708</v>
      </c>
      <c r="R209" s="4">
        <v>22</v>
      </c>
    </row>
    <row r="210" spans="1:18">
      <c r="A210" s="4" t="s">
        <v>522</v>
      </c>
      <c r="B210" s="4" t="s">
        <v>514</v>
      </c>
      <c r="C210" s="4" t="s">
        <v>114</v>
      </c>
      <c r="D210" s="27">
        <v>45256</v>
      </c>
      <c r="E210" s="4" t="s">
        <v>20</v>
      </c>
      <c r="F210" s="4" t="s">
        <v>21</v>
      </c>
      <c r="G210" s="4" t="s">
        <v>523</v>
      </c>
      <c r="H210" s="4" t="s">
        <v>40</v>
      </c>
      <c r="I210" s="4">
        <v>7</v>
      </c>
      <c r="J210" s="4" t="s">
        <v>112</v>
      </c>
      <c r="K210" s="4">
        <v>65</v>
      </c>
      <c r="L210" s="4">
        <v>10</v>
      </c>
      <c r="M210" s="4" t="s">
        <v>25</v>
      </c>
      <c r="N210" s="28">
        <v>0.230781238931274</v>
      </c>
      <c r="O210" s="4" t="s">
        <v>34</v>
      </c>
      <c r="P210" s="4">
        <v>650</v>
      </c>
      <c r="Q210" s="4">
        <v>500</v>
      </c>
      <c r="R210" s="4">
        <v>37</v>
      </c>
    </row>
    <row r="211" spans="1:18">
      <c r="A211" s="4" t="s">
        <v>524</v>
      </c>
      <c r="B211" s="4" t="s">
        <v>516</v>
      </c>
      <c r="C211" s="4" t="s">
        <v>118</v>
      </c>
      <c r="D211" s="27">
        <v>45248</v>
      </c>
      <c r="E211" s="4" t="s">
        <v>29</v>
      </c>
      <c r="F211" s="4" t="s">
        <v>21</v>
      </c>
      <c r="G211" s="4" t="s">
        <v>525</v>
      </c>
      <c r="H211" s="4" t="s">
        <v>23</v>
      </c>
      <c r="I211" s="4">
        <v>9</v>
      </c>
      <c r="J211" s="4" t="s">
        <v>116</v>
      </c>
      <c r="K211" s="4">
        <v>250</v>
      </c>
      <c r="L211" s="4">
        <v>3</v>
      </c>
      <c r="M211" s="4" t="s">
        <v>25</v>
      </c>
      <c r="N211" s="28">
        <v>0.0222252721214847</v>
      </c>
      <c r="O211" s="4" t="s">
        <v>42</v>
      </c>
      <c r="P211" s="4">
        <v>750</v>
      </c>
      <c r="Q211" s="4">
        <v>733</v>
      </c>
      <c r="R211" s="4">
        <v>85</v>
      </c>
    </row>
    <row r="212" spans="1:18">
      <c r="A212" s="4" t="s">
        <v>526</v>
      </c>
      <c r="B212" s="4" t="s">
        <v>518</v>
      </c>
      <c r="C212" s="4" t="s">
        <v>122</v>
      </c>
      <c r="D212" s="27">
        <v>45236</v>
      </c>
      <c r="E212" s="4" t="s">
        <v>20</v>
      </c>
      <c r="F212" s="4" t="s">
        <v>21</v>
      </c>
      <c r="G212" s="4" t="s">
        <v>527</v>
      </c>
      <c r="H212" s="4" t="s">
        <v>31</v>
      </c>
      <c r="I212" s="4">
        <v>10</v>
      </c>
      <c r="J212" s="4" t="s">
        <v>120</v>
      </c>
      <c r="K212" s="4">
        <v>130</v>
      </c>
      <c r="L212" s="4">
        <v>3</v>
      </c>
      <c r="M212" s="4" t="s">
        <v>25</v>
      </c>
      <c r="N212" s="28">
        <v>0.722064396265168</v>
      </c>
      <c r="O212" s="4" t="s">
        <v>47</v>
      </c>
      <c r="P212" s="4">
        <v>390</v>
      </c>
      <c r="Q212" s="4">
        <v>108</v>
      </c>
      <c r="R212" s="4">
        <v>57</v>
      </c>
    </row>
    <row r="213" spans="1:18">
      <c r="A213" s="4" t="s">
        <v>528</v>
      </c>
      <c r="B213" s="4" t="s">
        <v>520</v>
      </c>
      <c r="C213" s="4" t="s">
        <v>126</v>
      </c>
      <c r="D213" s="27">
        <v>45260</v>
      </c>
      <c r="E213" s="4" t="s">
        <v>29</v>
      </c>
      <c r="F213" s="4" t="s">
        <v>21</v>
      </c>
      <c r="G213" s="4" t="s">
        <v>529</v>
      </c>
      <c r="H213" s="4" t="s">
        <v>40</v>
      </c>
      <c r="I213" s="4">
        <v>7</v>
      </c>
      <c r="J213" s="4" t="s">
        <v>124</v>
      </c>
      <c r="K213" s="4">
        <v>60</v>
      </c>
      <c r="L213" s="4">
        <v>7</v>
      </c>
      <c r="M213" s="4" t="s">
        <v>25</v>
      </c>
      <c r="N213" s="28">
        <v>0.660677446652647</v>
      </c>
      <c r="O213" s="4" t="s">
        <v>68</v>
      </c>
      <c r="P213" s="4">
        <v>420</v>
      </c>
      <c r="Q213" s="4">
        <v>143</v>
      </c>
      <c r="R213" s="4">
        <v>26</v>
      </c>
    </row>
    <row r="214" spans="1:18">
      <c r="A214" s="4" t="s">
        <v>530</v>
      </c>
      <c r="B214" s="4" t="s">
        <v>522</v>
      </c>
      <c r="C214" s="4" t="s">
        <v>130</v>
      </c>
      <c r="D214" s="27">
        <v>45247</v>
      </c>
      <c r="E214" s="4" t="s">
        <v>20</v>
      </c>
      <c r="F214" s="4" t="s">
        <v>21</v>
      </c>
      <c r="G214" s="4" t="s">
        <v>531</v>
      </c>
      <c r="H214" s="4" t="s">
        <v>23</v>
      </c>
      <c r="I214" s="4">
        <v>7</v>
      </c>
      <c r="J214" s="4" t="s">
        <v>128</v>
      </c>
      <c r="K214" s="4">
        <v>72</v>
      </c>
      <c r="L214" s="4">
        <v>6</v>
      </c>
      <c r="M214" s="4" t="s">
        <v>25</v>
      </c>
      <c r="N214" s="28">
        <v>0.140483963529861</v>
      </c>
      <c r="O214" s="4" t="s">
        <v>26</v>
      </c>
      <c r="P214" s="4">
        <v>432</v>
      </c>
      <c r="Q214" s="4">
        <v>371</v>
      </c>
      <c r="R214" s="4">
        <v>31</v>
      </c>
    </row>
    <row r="215" spans="1:18">
      <c r="A215" s="4" t="s">
        <v>532</v>
      </c>
      <c r="B215" s="4" t="s">
        <v>524</v>
      </c>
      <c r="C215" s="4" t="s">
        <v>134</v>
      </c>
      <c r="D215" s="27">
        <v>45254</v>
      </c>
      <c r="E215" s="4" t="s">
        <v>29</v>
      </c>
      <c r="F215" s="4" t="s">
        <v>21</v>
      </c>
      <c r="G215" s="4" t="s">
        <v>533</v>
      </c>
      <c r="H215" s="4" t="s">
        <v>31</v>
      </c>
      <c r="I215" s="4">
        <v>8</v>
      </c>
      <c r="J215" s="4" t="s">
        <v>63</v>
      </c>
      <c r="K215" s="4">
        <v>65</v>
      </c>
      <c r="L215" s="4">
        <v>8</v>
      </c>
      <c r="M215" s="4" t="s">
        <v>25</v>
      </c>
      <c r="N215" s="28">
        <v>0.378729812495668</v>
      </c>
      <c r="O215" s="4" t="s">
        <v>34</v>
      </c>
      <c r="P215" s="4">
        <v>520</v>
      </c>
      <c r="Q215" s="4">
        <v>323</v>
      </c>
      <c r="R215" s="4">
        <v>35</v>
      </c>
    </row>
    <row r="216" spans="1:18">
      <c r="A216" s="4" t="s">
        <v>534</v>
      </c>
      <c r="B216" s="4" t="s">
        <v>526</v>
      </c>
      <c r="C216" s="4" t="s">
        <v>139</v>
      </c>
      <c r="D216" s="27">
        <v>45259</v>
      </c>
      <c r="E216" s="4" t="s">
        <v>37</v>
      </c>
      <c r="F216" s="4" t="s">
        <v>21</v>
      </c>
      <c r="G216" s="4" t="s">
        <v>535</v>
      </c>
      <c r="H216" s="4" t="s">
        <v>40</v>
      </c>
      <c r="I216" s="4">
        <v>8</v>
      </c>
      <c r="J216" s="4" t="s">
        <v>67</v>
      </c>
      <c r="K216" s="4">
        <v>250</v>
      </c>
      <c r="L216" s="4">
        <v>2</v>
      </c>
      <c r="M216" s="4" t="s">
        <v>33</v>
      </c>
      <c r="N216" s="28">
        <v>0.715155896941275</v>
      </c>
      <c r="O216" s="4" t="s">
        <v>42</v>
      </c>
      <c r="P216" s="4">
        <v>500</v>
      </c>
      <c r="Q216" s="4">
        <v>142</v>
      </c>
      <c r="R216" s="4">
        <v>75</v>
      </c>
    </row>
    <row r="217" spans="1:18">
      <c r="A217" s="4" t="s">
        <v>536</v>
      </c>
      <c r="B217" s="4" t="s">
        <v>528</v>
      </c>
      <c r="C217" s="4" t="s">
        <v>143</v>
      </c>
      <c r="D217" s="27">
        <v>45249</v>
      </c>
      <c r="E217" s="4" t="s">
        <v>20</v>
      </c>
      <c r="F217" s="4" t="s">
        <v>21</v>
      </c>
      <c r="G217" s="4" t="s">
        <v>537</v>
      </c>
      <c r="H217" s="4" t="s">
        <v>23</v>
      </c>
      <c r="I217" s="4">
        <v>10</v>
      </c>
      <c r="J217" s="4" t="s">
        <v>71</v>
      </c>
      <c r="K217" s="4">
        <v>130</v>
      </c>
      <c r="L217" s="4">
        <v>6</v>
      </c>
      <c r="M217" s="4" t="s">
        <v>25</v>
      </c>
      <c r="N217" s="28">
        <v>0.214125193587993</v>
      </c>
      <c r="O217" s="4" t="s">
        <v>47</v>
      </c>
      <c r="P217" s="4">
        <v>780</v>
      </c>
      <c r="Q217" s="4">
        <v>613</v>
      </c>
      <c r="R217" s="4">
        <v>55</v>
      </c>
    </row>
    <row r="218" spans="1:18">
      <c r="A218" s="4" t="s">
        <v>538</v>
      </c>
      <c r="B218" s="4" t="s">
        <v>530</v>
      </c>
      <c r="C218" s="4" t="s">
        <v>146</v>
      </c>
      <c r="D218" s="27">
        <v>45238</v>
      </c>
      <c r="E218" s="4" t="s">
        <v>29</v>
      </c>
      <c r="F218" s="4" t="s">
        <v>21</v>
      </c>
      <c r="G218" s="4" t="s">
        <v>539</v>
      </c>
      <c r="H218" s="4" t="s">
        <v>31</v>
      </c>
      <c r="I218" s="4">
        <v>9</v>
      </c>
      <c r="J218" s="4" t="s">
        <v>132</v>
      </c>
      <c r="K218" s="4">
        <v>72</v>
      </c>
      <c r="L218" s="4">
        <v>6</v>
      </c>
      <c r="M218" s="4" t="s">
        <v>25</v>
      </c>
      <c r="N218" s="28">
        <v>0.164550915960732</v>
      </c>
      <c r="O218" s="4" t="s">
        <v>26</v>
      </c>
      <c r="P218" s="4">
        <v>432</v>
      </c>
      <c r="Q218" s="4">
        <v>361</v>
      </c>
      <c r="R218" s="4">
        <v>24</v>
      </c>
    </row>
    <row r="219" spans="1:18">
      <c r="A219" s="4" t="s">
        <v>540</v>
      </c>
      <c r="B219" s="4" t="s">
        <v>532</v>
      </c>
      <c r="C219" s="4" t="s">
        <v>149</v>
      </c>
      <c r="D219" s="27">
        <v>45245</v>
      </c>
      <c r="E219" s="4" t="s">
        <v>29</v>
      </c>
      <c r="F219" s="4" t="s">
        <v>21</v>
      </c>
      <c r="G219" s="4" t="s">
        <v>541</v>
      </c>
      <c r="H219" s="4" t="s">
        <v>40</v>
      </c>
      <c r="I219" s="4">
        <v>9</v>
      </c>
      <c r="J219" s="4" t="s">
        <v>136</v>
      </c>
      <c r="K219" s="4">
        <v>65</v>
      </c>
      <c r="L219" s="4">
        <v>4</v>
      </c>
      <c r="M219" s="4" t="s">
        <v>25</v>
      </c>
      <c r="N219" s="28">
        <v>0.256669074916685</v>
      </c>
      <c r="O219" s="4" t="s">
        <v>34</v>
      </c>
      <c r="P219" s="4">
        <v>260</v>
      </c>
      <c r="Q219" s="4">
        <v>193</v>
      </c>
      <c r="R219" s="4">
        <v>29</v>
      </c>
    </row>
    <row r="220" spans="1:18">
      <c r="A220" s="4" t="s">
        <v>542</v>
      </c>
      <c r="B220" s="4" t="s">
        <v>534</v>
      </c>
      <c r="C220" s="4" t="s">
        <v>152</v>
      </c>
      <c r="D220" s="27">
        <v>45243</v>
      </c>
      <c r="E220" s="4" t="s">
        <v>20</v>
      </c>
      <c r="F220" s="4" t="s">
        <v>21</v>
      </c>
      <c r="G220" s="4" t="s">
        <v>543</v>
      </c>
      <c r="H220" s="4" t="s">
        <v>23</v>
      </c>
      <c r="I220" s="4">
        <v>7</v>
      </c>
      <c r="J220" s="4" t="s">
        <v>141</v>
      </c>
      <c r="K220" s="4">
        <v>250</v>
      </c>
      <c r="L220" s="4">
        <v>3</v>
      </c>
      <c r="M220" s="4" t="s">
        <v>25</v>
      </c>
      <c r="N220" s="28">
        <v>0.901602317884266</v>
      </c>
      <c r="O220" s="4" t="s">
        <v>42</v>
      </c>
      <c r="P220" s="4">
        <v>750</v>
      </c>
      <c r="Q220" s="4">
        <v>74</v>
      </c>
      <c r="R220" s="4">
        <v>83</v>
      </c>
    </row>
    <row r="221" spans="1:18">
      <c r="A221" s="4" t="s">
        <v>544</v>
      </c>
      <c r="B221" s="4" t="s">
        <v>536</v>
      </c>
      <c r="C221" s="4" t="s">
        <v>84</v>
      </c>
      <c r="D221" s="27">
        <v>45255</v>
      </c>
      <c r="E221" s="4" t="s">
        <v>29</v>
      </c>
      <c r="F221" s="4" t="s">
        <v>21</v>
      </c>
      <c r="G221" s="4" t="s">
        <v>545</v>
      </c>
      <c r="H221" s="4" t="s">
        <v>31</v>
      </c>
      <c r="I221" s="4">
        <v>10</v>
      </c>
      <c r="J221" s="4" t="s">
        <v>24</v>
      </c>
      <c r="K221" s="4">
        <v>130</v>
      </c>
      <c r="L221" s="4">
        <v>2</v>
      </c>
      <c r="M221" s="4" t="s">
        <v>25</v>
      </c>
      <c r="N221" s="28">
        <v>0.320164833885899</v>
      </c>
      <c r="O221" s="4" t="s">
        <v>47</v>
      </c>
      <c r="P221" s="4">
        <v>260</v>
      </c>
      <c r="Q221" s="4">
        <v>177</v>
      </c>
      <c r="R221" s="4">
        <v>48</v>
      </c>
    </row>
    <row r="222" spans="1:18">
      <c r="A222" s="4" t="s">
        <v>546</v>
      </c>
      <c r="B222" s="4" t="s">
        <v>538</v>
      </c>
      <c r="C222" s="4" t="s">
        <v>118</v>
      </c>
      <c r="D222" s="27">
        <v>45241</v>
      </c>
      <c r="E222" s="4" t="s">
        <v>20</v>
      </c>
      <c r="F222" s="4" t="s">
        <v>21</v>
      </c>
      <c r="G222" s="4" t="s">
        <v>547</v>
      </c>
      <c r="H222" s="4" t="s">
        <v>40</v>
      </c>
      <c r="I222" s="4">
        <v>7</v>
      </c>
      <c r="J222" s="4" t="s">
        <v>32</v>
      </c>
      <c r="K222" s="4">
        <v>60</v>
      </c>
      <c r="L222" s="4">
        <v>9</v>
      </c>
      <c r="M222" s="4" t="s">
        <v>33</v>
      </c>
      <c r="N222" s="28">
        <v>0.134984504877316</v>
      </c>
      <c r="O222" s="4" t="s">
        <v>68</v>
      </c>
      <c r="P222" s="4">
        <v>540</v>
      </c>
      <c r="Q222" s="4">
        <v>467</v>
      </c>
      <c r="R222" s="4">
        <v>35</v>
      </c>
    </row>
    <row r="223" spans="1:18">
      <c r="A223" s="4" t="s">
        <v>548</v>
      </c>
      <c r="B223" s="4" t="s">
        <v>540</v>
      </c>
      <c r="C223" s="4" t="s">
        <v>139</v>
      </c>
      <c r="D223" s="27">
        <v>45257</v>
      </c>
      <c r="E223" s="4" t="s">
        <v>29</v>
      </c>
      <c r="F223" s="4" t="s">
        <v>21</v>
      </c>
      <c r="G223" s="4" t="s">
        <v>549</v>
      </c>
      <c r="H223" s="4" t="s">
        <v>23</v>
      </c>
      <c r="I223" s="4">
        <v>7</v>
      </c>
      <c r="J223" s="4" t="s">
        <v>86</v>
      </c>
      <c r="K223" s="4">
        <v>95</v>
      </c>
      <c r="L223" s="4">
        <v>5</v>
      </c>
      <c r="M223" s="4" t="s">
        <v>25</v>
      </c>
      <c r="N223" s="28">
        <v>0.9178959373828</v>
      </c>
      <c r="O223" s="4" t="s">
        <v>104</v>
      </c>
      <c r="P223" s="4">
        <v>475</v>
      </c>
      <c r="Q223" s="4">
        <v>39</v>
      </c>
      <c r="R223" s="4">
        <v>40</v>
      </c>
    </row>
    <row r="224" spans="1:18">
      <c r="A224" s="4" t="s">
        <v>550</v>
      </c>
      <c r="B224" s="4" t="s">
        <v>542</v>
      </c>
      <c r="C224" s="4"/>
      <c r="D224" s="27">
        <v>45238</v>
      </c>
      <c r="E224" s="4" t="s">
        <v>29</v>
      </c>
      <c r="F224" s="4" t="s">
        <v>21</v>
      </c>
      <c r="G224" s="4" t="s">
        <v>551</v>
      </c>
      <c r="H224" s="4" t="s">
        <v>31</v>
      </c>
      <c r="I224" s="4">
        <v>10</v>
      </c>
      <c r="J224" s="4" t="s">
        <v>89</v>
      </c>
      <c r="K224" s="4">
        <v>72</v>
      </c>
      <c r="L224" s="4">
        <v>3</v>
      </c>
      <c r="M224" s="4" t="s">
        <v>25</v>
      </c>
      <c r="N224" s="28">
        <v>0.980217263421222</v>
      </c>
      <c r="O224" s="4" t="s">
        <v>26</v>
      </c>
      <c r="P224" s="4">
        <v>216</v>
      </c>
      <c r="Q224" s="4">
        <v>4</v>
      </c>
      <c r="R224" s="4">
        <v>31</v>
      </c>
    </row>
    <row r="225" spans="1:18">
      <c r="A225" s="4" t="s">
        <v>552</v>
      </c>
      <c r="B225" s="4" t="s">
        <v>544</v>
      </c>
      <c r="C225" s="4" t="s">
        <v>91</v>
      </c>
      <c r="D225" s="27">
        <v>45249</v>
      </c>
      <c r="E225" s="4" t="s">
        <v>20</v>
      </c>
      <c r="F225" s="4" t="s">
        <v>21</v>
      </c>
      <c r="G225" s="4" t="s">
        <v>553</v>
      </c>
      <c r="H225" s="4" t="s">
        <v>40</v>
      </c>
      <c r="I225" s="4">
        <v>7</v>
      </c>
      <c r="J225" s="4" t="s">
        <v>93</v>
      </c>
      <c r="K225" s="4">
        <v>65</v>
      </c>
      <c r="L225" s="4">
        <v>7</v>
      </c>
      <c r="M225" s="4" t="s">
        <v>25</v>
      </c>
      <c r="N225" s="28">
        <v>0.067354248366483</v>
      </c>
      <c r="O225" s="4" t="s">
        <v>34</v>
      </c>
      <c r="P225" s="4">
        <v>455</v>
      </c>
      <c r="Q225" s="4">
        <v>424</v>
      </c>
      <c r="R225" s="4">
        <v>32</v>
      </c>
    </row>
    <row r="226" spans="1:18">
      <c r="A226" s="4" t="s">
        <v>554</v>
      </c>
      <c r="B226" s="4" t="s">
        <v>546</v>
      </c>
      <c r="C226" s="4" t="s">
        <v>146</v>
      </c>
      <c r="D226" s="27">
        <v>45240</v>
      </c>
      <c r="E226" s="4" t="s">
        <v>29</v>
      </c>
      <c r="F226" s="4" t="s">
        <v>21</v>
      </c>
      <c r="G226" s="4" t="s">
        <v>555</v>
      </c>
      <c r="H226" s="4" t="s">
        <v>23</v>
      </c>
      <c r="I226" s="4">
        <v>10</v>
      </c>
      <c r="J226" s="4" t="s">
        <v>96</v>
      </c>
      <c r="K226" s="4">
        <v>250</v>
      </c>
      <c r="L226" s="4">
        <v>2</v>
      </c>
      <c r="M226" s="4" t="s">
        <v>33</v>
      </c>
      <c r="N226" s="28">
        <v>0.499072721338834</v>
      </c>
      <c r="O226" s="4" t="s">
        <v>42</v>
      </c>
      <c r="P226" s="4">
        <v>500</v>
      </c>
      <c r="Q226" s="4">
        <v>250</v>
      </c>
      <c r="R226" s="4">
        <v>160</v>
      </c>
    </row>
    <row r="227" spans="1:18">
      <c r="A227" s="4" t="s">
        <v>556</v>
      </c>
      <c r="B227" s="4" t="s">
        <v>548</v>
      </c>
      <c r="C227" s="4" t="s">
        <v>149</v>
      </c>
      <c r="D227" s="27">
        <v>45234</v>
      </c>
      <c r="E227" s="4" t="s">
        <v>29</v>
      </c>
      <c r="F227" s="4" t="s">
        <v>21</v>
      </c>
      <c r="G227" s="4" t="s">
        <v>557</v>
      </c>
      <c r="H227" s="4" t="s">
        <v>31</v>
      </c>
      <c r="I227" s="4">
        <v>9</v>
      </c>
      <c r="J227" s="4" t="s">
        <v>58</v>
      </c>
      <c r="K227" s="4">
        <v>130</v>
      </c>
      <c r="L227" s="4">
        <v>5</v>
      </c>
      <c r="M227" s="4" t="s">
        <v>33</v>
      </c>
      <c r="N227" s="28">
        <v>0.614664684595898</v>
      </c>
      <c r="O227" s="4" t="s">
        <v>47</v>
      </c>
      <c r="P227" s="4">
        <v>650</v>
      </c>
      <c r="Q227" s="4">
        <v>250</v>
      </c>
      <c r="R227" s="4">
        <v>61</v>
      </c>
    </row>
    <row r="228" spans="1:18">
      <c r="A228" s="4" t="s">
        <v>558</v>
      </c>
      <c r="B228" s="4" t="s">
        <v>550</v>
      </c>
      <c r="C228" s="4" t="s">
        <v>171</v>
      </c>
      <c r="D228" s="27">
        <v>45256</v>
      </c>
      <c r="E228" s="4" t="s">
        <v>20</v>
      </c>
      <c r="F228" s="4" t="s">
        <v>21</v>
      </c>
      <c r="G228" s="4" t="s">
        <v>559</v>
      </c>
      <c r="H228" s="4" t="s">
        <v>40</v>
      </c>
      <c r="I228" s="4">
        <v>10</v>
      </c>
      <c r="J228" s="4" t="s">
        <v>63</v>
      </c>
      <c r="K228" s="4">
        <v>72</v>
      </c>
      <c r="L228" s="4">
        <v>7</v>
      </c>
      <c r="M228" s="4" t="s">
        <v>33</v>
      </c>
      <c r="N228" s="28">
        <v>0.946397988047686</v>
      </c>
      <c r="O228" s="4" t="s">
        <v>26</v>
      </c>
      <c r="P228" s="4">
        <v>504</v>
      </c>
      <c r="Q228" s="4">
        <v>27</v>
      </c>
      <c r="R228" s="4">
        <v>42</v>
      </c>
    </row>
    <row r="229" spans="1:18">
      <c r="A229" s="4" t="s">
        <v>560</v>
      </c>
      <c r="B229" s="4" t="s">
        <v>552</v>
      </c>
      <c r="C229" s="4" t="s">
        <v>316</v>
      </c>
      <c r="D229" s="27">
        <v>45260</v>
      </c>
      <c r="E229" s="4" t="s">
        <v>29</v>
      </c>
      <c r="F229" s="4" t="s">
        <v>21</v>
      </c>
      <c r="G229" s="4" t="s">
        <v>561</v>
      </c>
      <c r="H229" s="4" t="s">
        <v>23</v>
      </c>
      <c r="I229" s="4">
        <v>7</v>
      </c>
      <c r="J229" s="4" t="s">
        <v>67</v>
      </c>
      <c r="K229" s="4">
        <v>65</v>
      </c>
      <c r="L229" s="4">
        <v>10</v>
      </c>
      <c r="M229" s="4" t="s">
        <v>33</v>
      </c>
      <c r="N229" s="28">
        <v>0.951686638384176</v>
      </c>
      <c r="O229" s="4" t="s">
        <v>34</v>
      </c>
      <c r="P229" s="4">
        <v>650</v>
      </c>
      <c r="Q229" s="4">
        <v>31</v>
      </c>
      <c r="R229" s="4">
        <v>20</v>
      </c>
    </row>
    <row r="230" spans="1:18">
      <c r="A230" s="4" t="s">
        <v>562</v>
      </c>
      <c r="B230" s="4" t="s">
        <v>554</v>
      </c>
      <c r="C230" s="4" t="s">
        <v>176</v>
      </c>
      <c r="D230" s="27">
        <v>45231</v>
      </c>
      <c r="E230" s="4" t="s">
        <v>20</v>
      </c>
      <c r="F230" s="4" t="s">
        <v>38</v>
      </c>
      <c r="G230" s="4" t="s">
        <v>563</v>
      </c>
      <c r="H230" s="4" t="s">
        <v>31</v>
      </c>
      <c r="I230" s="4">
        <v>10</v>
      </c>
      <c r="J230" s="4" t="s">
        <v>103</v>
      </c>
      <c r="K230" s="4">
        <v>250</v>
      </c>
      <c r="L230" s="4">
        <v>2</v>
      </c>
      <c r="M230" s="4" t="s">
        <v>33</v>
      </c>
      <c r="N230" s="28">
        <v>0.559588680773942</v>
      </c>
      <c r="O230" s="4" t="s">
        <v>42</v>
      </c>
      <c r="P230" s="4">
        <v>500</v>
      </c>
      <c r="Q230" s="4">
        <v>220</v>
      </c>
      <c r="R230" s="4">
        <v>103</v>
      </c>
    </row>
    <row r="231" spans="1:18">
      <c r="A231" s="4" t="s">
        <v>564</v>
      </c>
      <c r="B231" s="4" t="s">
        <v>556</v>
      </c>
      <c r="C231" s="4" t="s">
        <v>179</v>
      </c>
      <c r="D231" s="27">
        <v>45245</v>
      </c>
      <c r="E231" s="4" t="s">
        <v>29</v>
      </c>
      <c r="F231" s="4" t="s">
        <v>21</v>
      </c>
      <c r="G231" s="4" t="s">
        <v>565</v>
      </c>
      <c r="H231" s="4" t="s">
        <v>40</v>
      </c>
      <c r="I231" s="4">
        <v>10</v>
      </c>
      <c r="J231" s="4" t="s">
        <v>108</v>
      </c>
      <c r="K231" s="4">
        <v>130</v>
      </c>
      <c r="L231" s="4">
        <v>2</v>
      </c>
      <c r="M231" s="4" t="s">
        <v>33</v>
      </c>
      <c r="N231" s="28">
        <v>0.810039366771655</v>
      </c>
      <c r="O231" s="4" t="s">
        <v>47</v>
      </c>
      <c r="P231" s="4">
        <v>260</v>
      </c>
      <c r="Q231" s="4">
        <v>49</v>
      </c>
      <c r="R231" s="4">
        <v>61</v>
      </c>
    </row>
    <row r="232" spans="1:18">
      <c r="A232" s="4" t="s">
        <v>566</v>
      </c>
      <c r="B232" s="4" t="s">
        <v>558</v>
      </c>
      <c r="C232" s="4" t="s">
        <v>182</v>
      </c>
      <c r="D232" s="27">
        <v>45258</v>
      </c>
      <c r="E232" s="4" t="s">
        <v>20</v>
      </c>
      <c r="F232" s="4" t="s">
        <v>21</v>
      </c>
      <c r="G232" s="4" t="s">
        <v>567</v>
      </c>
      <c r="H232" s="4" t="s">
        <v>23</v>
      </c>
      <c r="I232" s="4">
        <v>8</v>
      </c>
      <c r="J232" s="4" t="s">
        <v>112</v>
      </c>
      <c r="K232" s="4">
        <v>72</v>
      </c>
      <c r="L232" s="4">
        <v>12</v>
      </c>
      <c r="M232" s="4" t="s">
        <v>33</v>
      </c>
      <c r="N232" s="28">
        <v>0.354500723432542</v>
      </c>
      <c r="O232" s="4" t="s">
        <v>26</v>
      </c>
      <c r="P232" s="4">
        <v>864</v>
      </c>
      <c r="Q232" s="4">
        <v>558</v>
      </c>
      <c r="R232" s="4">
        <v>22</v>
      </c>
    </row>
    <row r="233" spans="1:18">
      <c r="A233" s="4" t="s">
        <v>568</v>
      </c>
      <c r="B233" s="4" t="s">
        <v>560</v>
      </c>
      <c r="C233" s="4" t="s">
        <v>185</v>
      </c>
      <c r="D233" s="27">
        <v>45251</v>
      </c>
      <c r="E233" s="4" t="s">
        <v>29</v>
      </c>
      <c r="F233" s="4" t="s">
        <v>21</v>
      </c>
      <c r="G233" s="4" t="s">
        <v>569</v>
      </c>
      <c r="H233" s="4" t="s">
        <v>31</v>
      </c>
      <c r="I233" s="4">
        <v>10</v>
      </c>
      <c r="J233" s="4" t="s">
        <v>116</v>
      </c>
      <c r="K233" s="4">
        <v>65</v>
      </c>
      <c r="L233" s="4">
        <v>11</v>
      </c>
      <c r="M233" s="4" t="s">
        <v>25</v>
      </c>
      <c r="N233" s="28">
        <v>0.348954696083328</v>
      </c>
      <c r="O233" s="4" t="s">
        <v>34</v>
      </c>
      <c r="P233" s="4">
        <v>715</v>
      </c>
      <c r="Q233" s="4">
        <v>465</v>
      </c>
      <c r="R233" s="4">
        <v>30</v>
      </c>
    </row>
    <row r="234" spans="1:18">
      <c r="A234" s="4" t="s">
        <v>570</v>
      </c>
      <c r="B234" s="4" t="s">
        <v>562</v>
      </c>
      <c r="C234" s="4" t="s">
        <v>188</v>
      </c>
      <c r="D234" s="27">
        <v>45245</v>
      </c>
      <c r="E234" s="4" t="s">
        <v>29</v>
      </c>
      <c r="F234" s="4" t="s">
        <v>21</v>
      </c>
      <c r="G234" s="4" t="s">
        <v>571</v>
      </c>
      <c r="H234" s="4" t="s">
        <v>40</v>
      </c>
      <c r="I234" s="4">
        <v>9</v>
      </c>
      <c r="J234" s="4" t="s">
        <v>120</v>
      </c>
      <c r="K234" s="4">
        <v>250</v>
      </c>
      <c r="L234" s="4">
        <v>2</v>
      </c>
      <c r="M234" s="4" t="s">
        <v>25</v>
      </c>
      <c r="N234" s="28">
        <v>0.522795784515332</v>
      </c>
      <c r="O234" s="4" t="s">
        <v>42</v>
      </c>
      <c r="P234" s="4">
        <v>500</v>
      </c>
      <c r="Q234" s="4">
        <v>239</v>
      </c>
      <c r="R234" s="4">
        <v>143</v>
      </c>
    </row>
    <row r="235" spans="1:18">
      <c r="A235" s="4" t="s">
        <v>572</v>
      </c>
      <c r="B235" s="4" t="s">
        <v>564</v>
      </c>
      <c r="C235" s="4" t="s">
        <v>191</v>
      </c>
      <c r="D235" s="27">
        <v>45257</v>
      </c>
      <c r="E235" s="4" t="s">
        <v>20</v>
      </c>
      <c r="F235" s="4" t="s">
        <v>21</v>
      </c>
      <c r="G235" s="4" t="s">
        <v>573</v>
      </c>
      <c r="H235" s="4" t="s">
        <v>23</v>
      </c>
      <c r="I235" s="4">
        <v>9</v>
      </c>
      <c r="J235" s="4" t="s">
        <v>124</v>
      </c>
      <c r="K235" s="4">
        <v>130</v>
      </c>
      <c r="L235" s="4">
        <v>3</v>
      </c>
      <c r="M235" s="4" t="s">
        <v>25</v>
      </c>
      <c r="N235" s="28">
        <v>0.696178879378529</v>
      </c>
      <c r="O235" s="4" t="s">
        <v>47</v>
      </c>
      <c r="P235" s="4">
        <v>390</v>
      </c>
      <c r="Q235" s="4">
        <v>118</v>
      </c>
      <c r="R235" s="4">
        <v>47</v>
      </c>
    </row>
    <row r="236" spans="1:18">
      <c r="A236" s="4" t="s">
        <v>574</v>
      </c>
      <c r="B236" s="4" t="s">
        <v>566</v>
      </c>
      <c r="C236" s="4" t="s">
        <v>114</v>
      </c>
      <c r="D236" s="27">
        <v>45234</v>
      </c>
      <c r="E236" s="4" t="s">
        <v>29</v>
      </c>
      <c r="F236" s="4" t="s">
        <v>38</v>
      </c>
      <c r="G236" s="4" t="s">
        <v>575</v>
      </c>
      <c r="H236" s="4" t="s">
        <v>31</v>
      </c>
      <c r="I236" s="4">
        <v>9</v>
      </c>
      <c r="J236" s="4" t="s">
        <v>128</v>
      </c>
      <c r="K236" s="4">
        <v>72</v>
      </c>
      <c r="L236" s="4">
        <v>6</v>
      </c>
      <c r="M236" s="4" t="s">
        <v>33</v>
      </c>
      <c r="N236" s="28">
        <v>0.556383540820817</v>
      </c>
      <c r="O236" s="4" t="s">
        <v>26</v>
      </c>
      <c r="P236" s="4">
        <v>432</v>
      </c>
      <c r="Q236" s="4">
        <v>192</v>
      </c>
      <c r="R236" s="4">
        <v>40</v>
      </c>
    </row>
    <row r="237" spans="1:18">
      <c r="A237" s="4" t="s">
        <v>576</v>
      </c>
      <c r="B237" s="4" t="s">
        <v>568</v>
      </c>
      <c r="C237" s="4" t="s">
        <v>118</v>
      </c>
      <c r="D237" s="27">
        <v>45252</v>
      </c>
      <c r="E237" s="4" t="s">
        <v>20</v>
      </c>
      <c r="F237" s="4" t="s">
        <v>21</v>
      </c>
      <c r="G237" s="4" t="s">
        <v>577</v>
      </c>
      <c r="H237" s="4" t="s">
        <v>40</v>
      </c>
      <c r="I237" s="4">
        <v>10</v>
      </c>
      <c r="J237" s="4" t="s">
        <v>63</v>
      </c>
      <c r="K237" s="4">
        <v>65</v>
      </c>
      <c r="L237" s="4">
        <v>8</v>
      </c>
      <c r="M237" s="4" t="s">
        <v>33</v>
      </c>
      <c r="N237" s="28">
        <v>0.078132692098414</v>
      </c>
      <c r="O237" s="4" t="s">
        <v>34</v>
      </c>
      <c r="P237" s="4">
        <v>520</v>
      </c>
      <c r="Q237" s="4">
        <v>479</v>
      </c>
      <c r="R237" s="4">
        <v>29</v>
      </c>
    </row>
    <row r="238" spans="1:18">
      <c r="A238" s="4" t="s">
        <v>578</v>
      </c>
      <c r="B238" s="4" t="s">
        <v>570</v>
      </c>
      <c r="C238" s="4" t="s">
        <v>122</v>
      </c>
      <c r="D238" s="27">
        <v>45233</v>
      </c>
      <c r="E238" s="4" t="s">
        <v>29</v>
      </c>
      <c r="F238" s="4" t="s">
        <v>21</v>
      </c>
      <c r="G238" s="4" t="s">
        <v>579</v>
      </c>
      <c r="H238" s="4" t="s">
        <v>23</v>
      </c>
      <c r="I238" s="4">
        <v>9</v>
      </c>
      <c r="J238" s="4" t="s">
        <v>67</v>
      </c>
      <c r="K238" s="4">
        <v>250</v>
      </c>
      <c r="L238" s="4">
        <v>1</v>
      </c>
      <c r="M238" s="4" t="s">
        <v>33</v>
      </c>
      <c r="N238" s="28">
        <v>0.377831126876786</v>
      </c>
      <c r="O238" s="4" t="s">
        <v>42</v>
      </c>
      <c r="P238" s="4">
        <v>250</v>
      </c>
      <c r="Q238" s="4">
        <v>156</v>
      </c>
      <c r="R238" s="4">
        <v>115</v>
      </c>
    </row>
    <row r="239" spans="1:18">
      <c r="A239" s="4" t="s">
        <v>580</v>
      </c>
      <c r="B239" s="4" t="s">
        <v>572</v>
      </c>
      <c r="C239" s="4" t="s">
        <v>126</v>
      </c>
      <c r="D239" s="27">
        <v>45247</v>
      </c>
      <c r="E239" s="4" t="s">
        <v>20</v>
      </c>
      <c r="F239" s="4" t="s">
        <v>21</v>
      </c>
      <c r="G239" s="4" t="s">
        <v>581</v>
      </c>
      <c r="H239" s="4" t="s">
        <v>31</v>
      </c>
      <c r="I239" s="4">
        <v>10</v>
      </c>
      <c r="J239" s="4" t="s">
        <v>71</v>
      </c>
      <c r="K239" s="4">
        <v>130</v>
      </c>
      <c r="L239" s="4">
        <v>7</v>
      </c>
      <c r="M239" s="4" t="s">
        <v>33</v>
      </c>
      <c r="N239" s="28">
        <v>0.342009443543033</v>
      </c>
      <c r="O239" s="4" t="s">
        <v>47</v>
      </c>
      <c r="P239" s="4">
        <v>910</v>
      </c>
      <c r="Q239" s="4">
        <v>599</v>
      </c>
      <c r="R239" s="4">
        <v>78</v>
      </c>
    </row>
    <row r="240" spans="1:18">
      <c r="A240" s="4" t="s">
        <v>582</v>
      </c>
      <c r="B240" s="4" t="s">
        <v>574</v>
      </c>
      <c r="C240" s="4" t="s">
        <v>130</v>
      </c>
      <c r="D240" s="27">
        <v>45242</v>
      </c>
      <c r="E240" s="4" t="s">
        <v>29</v>
      </c>
      <c r="F240" s="4" t="s">
        <v>21</v>
      </c>
      <c r="G240" s="4" t="s">
        <v>583</v>
      </c>
      <c r="H240" s="4" t="s">
        <v>40</v>
      </c>
      <c r="I240" s="4">
        <v>9</v>
      </c>
      <c r="J240" s="4" t="s">
        <v>141</v>
      </c>
      <c r="K240" s="4">
        <v>60</v>
      </c>
      <c r="L240" s="4">
        <v>11</v>
      </c>
      <c r="M240" s="4" t="s">
        <v>33</v>
      </c>
      <c r="N240" s="28">
        <v>0.927379764428659</v>
      </c>
      <c r="O240" s="4" t="s">
        <v>68</v>
      </c>
      <c r="P240" s="4">
        <v>660</v>
      </c>
      <c r="Q240" s="4">
        <v>48</v>
      </c>
      <c r="R240" s="4">
        <v>24</v>
      </c>
    </row>
    <row r="241" spans="1:18">
      <c r="A241" s="4" t="s">
        <v>584</v>
      </c>
      <c r="B241" s="4" t="s">
        <v>576</v>
      </c>
      <c r="C241" s="4" t="s">
        <v>134</v>
      </c>
      <c r="D241" s="27">
        <v>45241</v>
      </c>
      <c r="E241" s="4" t="s">
        <v>37</v>
      </c>
      <c r="F241" s="4" t="s">
        <v>21</v>
      </c>
      <c r="G241" s="4" t="s">
        <v>585</v>
      </c>
      <c r="H241" s="4" t="s">
        <v>23</v>
      </c>
      <c r="I241" s="4">
        <v>8</v>
      </c>
      <c r="J241" s="4" t="s">
        <v>24</v>
      </c>
      <c r="K241" s="4">
        <v>72</v>
      </c>
      <c r="L241" s="4">
        <v>6</v>
      </c>
      <c r="M241" s="4" t="s">
        <v>33</v>
      </c>
      <c r="N241" s="28">
        <v>0.969386671851488</v>
      </c>
      <c r="O241" s="4" t="s">
        <v>26</v>
      </c>
      <c r="P241" s="4">
        <v>432</v>
      </c>
      <c r="Q241" s="4">
        <v>13</v>
      </c>
      <c r="R241" s="4">
        <v>42</v>
      </c>
    </row>
    <row r="242" spans="1:18">
      <c r="A242" s="4" t="s">
        <v>586</v>
      </c>
      <c r="B242" s="4" t="s">
        <v>578</v>
      </c>
      <c r="C242" s="4"/>
      <c r="D242" s="27">
        <v>45244</v>
      </c>
      <c r="E242" s="4" t="s">
        <v>20</v>
      </c>
      <c r="F242" s="4" t="s">
        <v>21</v>
      </c>
      <c r="G242" s="4" t="s">
        <v>587</v>
      </c>
      <c r="H242" s="4" t="s">
        <v>31</v>
      </c>
      <c r="I242" s="4">
        <v>7</v>
      </c>
      <c r="J242" s="4" t="s">
        <v>32</v>
      </c>
      <c r="K242" s="4">
        <v>65</v>
      </c>
      <c r="L242" s="4">
        <v>6</v>
      </c>
      <c r="M242" s="4" t="s">
        <v>33</v>
      </c>
      <c r="N242" s="28">
        <v>0.244063078270044</v>
      </c>
      <c r="O242" s="4" t="s">
        <v>34</v>
      </c>
      <c r="P242" s="4">
        <v>390</v>
      </c>
      <c r="Q242" s="4">
        <v>295</v>
      </c>
      <c r="R242" s="4">
        <v>33</v>
      </c>
    </row>
    <row r="243" spans="1:18">
      <c r="A243" s="4" t="s">
        <v>588</v>
      </c>
      <c r="B243" s="4" t="s">
        <v>580</v>
      </c>
      <c r="C243" s="4" t="s">
        <v>143</v>
      </c>
      <c r="D243" s="27">
        <v>45258</v>
      </c>
      <c r="E243" s="4" t="s">
        <v>29</v>
      </c>
      <c r="F243" s="4" t="s">
        <v>21</v>
      </c>
      <c r="G243" s="4" t="s">
        <v>589</v>
      </c>
      <c r="H243" s="4" t="s">
        <v>40</v>
      </c>
      <c r="I243" s="4">
        <v>10</v>
      </c>
      <c r="J243" s="4" t="s">
        <v>86</v>
      </c>
      <c r="K243" s="4">
        <v>250</v>
      </c>
      <c r="L243" s="4">
        <v>2</v>
      </c>
      <c r="M243" s="4" t="s">
        <v>25</v>
      </c>
      <c r="N243" s="28">
        <v>0.931057824254786</v>
      </c>
      <c r="O243" s="4" t="s">
        <v>42</v>
      </c>
      <c r="P243" s="4">
        <v>500</v>
      </c>
      <c r="Q243" s="4">
        <v>34</v>
      </c>
      <c r="R243" s="4">
        <v>163</v>
      </c>
    </row>
    <row r="244" spans="1:18">
      <c r="A244" s="4" t="s">
        <v>590</v>
      </c>
      <c r="B244" s="4" t="s">
        <v>582</v>
      </c>
      <c r="C244" s="4" t="s">
        <v>146</v>
      </c>
      <c r="D244" s="27">
        <v>45237</v>
      </c>
      <c r="E244" s="4" t="s">
        <v>29</v>
      </c>
      <c r="F244" s="4" t="s">
        <v>21</v>
      </c>
      <c r="G244" s="4" t="s">
        <v>591</v>
      </c>
      <c r="H244" s="4" t="s">
        <v>23</v>
      </c>
      <c r="I244" s="4">
        <v>7</v>
      </c>
      <c r="J244" s="4" t="s">
        <v>89</v>
      </c>
      <c r="K244" s="4">
        <v>130</v>
      </c>
      <c r="L244" s="4">
        <v>4</v>
      </c>
      <c r="M244" s="4" t="s">
        <v>25</v>
      </c>
      <c r="N244" s="28">
        <v>0.67570229189542</v>
      </c>
      <c r="O244" s="4" t="s">
        <v>47</v>
      </c>
      <c r="P244" s="4">
        <v>520</v>
      </c>
      <c r="Q244" s="4">
        <v>169</v>
      </c>
      <c r="R244" s="4">
        <v>78</v>
      </c>
    </row>
    <row r="245" spans="1:18">
      <c r="A245" s="4" t="s">
        <v>592</v>
      </c>
      <c r="B245" s="4" t="s">
        <v>584</v>
      </c>
      <c r="C245" s="4" t="s">
        <v>149</v>
      </c>
      <c r="D245" s="27">
        <v>45259</v>
      </c>
      <c r="E245" s="4" t="s">
        <v>20</v>
      </c>
      <c r="F245" s="4" t="s">
        <v>21</v>
      </c>
      <c r="G245" s="4" t="s">
        <v>593</v>
      </c>
      <c r="H245" s="4" t="s">
        <v>31</v>
      </c>
      <c r="I245" s="4">
        <v>8</v>
      </c>
      <c r="J245" s="4" t="s">
        <v>93</v>
      </c>
      <c r="K245" s="4">
        <v>72</v>
      </c>
      <c r="L245" s="4">
        <v>7</v>
      </c>
      <c r="M245" s="4" t="s">
        <v>25</v>
      </c>
      <c r="N245" s="28">
        <v>0.911929825775482</v>
      </c>
      <c r="O245" s="4" t="s">
        <v>26</v>
      </c>
      <c r="P245" s="4">
        <v>504</v>
      </c>
      <c r="Q245" s="4">
        <v>44</v>
      </c>
      <c r="R245" s="4">
        <v>35</v>
      </c>
    </row>
    <row r="246" spans="1:18">
      <c r="A246" s="4" t="s">
        <v>594</v>
      </c>
      <c r="B246" s="4" t="s">
        <v>586</v>
      </c>
      <c r="C246" s="4" t="s">
        <v>203</v>
      </c>
      <c r="D246" s="27">
        <v>45244</v>
      </c>
      <c r="E246" s="4" t="s">
        <v>29</v>
      </c>
      <c r="F246" s="4" t="s">
        <v>21</v>
      </c>
      <c r="G246" s="4" t="s">
        <v>595</v>
      </c>
      <c r="H246" s="4" t="s">
        <v>40</v>
      </c>
      <c r="I246" s="4">
        <v>9</v>
      </c>
      <c r="J246" s="4" t="s">
        <v>96</v>
      </c>
      <c r="K246" s="4">
        <v>65</v>
      </c>
      <c r="L246" s="4">
        <v>13</v>
      </c>
      <c r="M246" s="4" t="s">
        <v>33</v>
      </c>
      <c r="N246" s="28">
        <v>0.463136115061751</v>
      </c>
      <c r="O246" s="4" t="s">
        <v>34</v>
      </c>
      <c r="P246" s="4">
        <v>845</v>
      </c>
      <c r="Q246" s="4">
        <v>454</v>
      </c>
      <c r="R246" s="4">
        <v>30</v>
      </c>
    </row>
    <row r="247" spans="1:18">
      <c r="A247" s="4" t="s">
        <v>596</v>
      </c>
      <c r="B247" s="4" t="s">
        <v>588</v>
      </c>
      <c r="C247" s="4" t="s">
        <v>28</v>
      </c>
      <c r="D247" s="27">
        <v>45240</v>
      </c>
      <c r="E247" s="4" t="s">
        <v>20</v>
      </c>
      <c r="F247" s="4" t="s">
        <v>21</v>
      </c>
      <c r="G247" s="4" t="s">
        <v>597</v>
      </c>
      <c r="H247" s="4" t="s">
        <v>23</v>
      </c>
      <c r="I247" s="4">
        <v>9</v>
      </c>
      <c r="J247" s="4" t="s">
        <v>58</v>
      </c>
      <c r="K247" s="4">
        <v>250</v>
      </c>
      <c r="L247" s="4">
        <v>1</v>
      </c>
      <c r="M247" s="4" t="s">
        <v>33</v>
      </c>
      <c r="N247" s="28">
        <v>0.0535302225625136</v>
      </c>
      <c r="O247" s="4" t="s">
        <v>42</v>
      </c>
      <c r="P247" s="4">
        <v>250</v>
      </c>
      <c r="Q247" s="4">
        <v>237</v>
      </c>
      <c r="R247" s="4">
        <v>155</v>
      </c>
    </row>
    <row r="248" spans="1:18">
      <c r="A248" s="4" t="s">
        <v>598</v>
      </c>
      <c r="B248" s="4" t="s">
        <v>590</v>
      </c>
      <c r="C248" s="4" t="s">
        <v>36</v>
      </c>
      <c r="D248" s="27">
        <v>45260</v>
      </c>
      <c r="E248" s="4" t="s">
        <v>29</v>
      </c>
      <c r="F248" s="4" t="s">
        <v>21</v>
      </c>
      <c r="G248" s="4" t="s">
        <v>599</v>
      </c>
      <c r="H248" s="4" t="s">
        <v>31</v>
      </c>
      <c r="I248" s="4">
        <v>9</v>
      </c>
      <c r="J248" s="4" t="s">
        <v>63</v>
      </c>
      <c r="K248" s="4">
        <v>130</v>
      </c>
      <c r="L248" s="4">
        <v>2</v>
      </c>
      <c r="M248" s="4" t="s">
        <v>33</v>
      </c>
      <c r="N248" s="28">
        <v>0.101354148565082</v>
      </c>
      <c r="O248" s="4" t="s">
        <v>47</v>
      </c>
      <c r="P248" s="4">
        <v>260</v>
      </c>
      <c r="Q248" s="4">
        <v>234</v>
      </c>
      <c r="R248" s="4">
        <v>77</v>
      </c>
    </row>
    <row r="249" spans="1:18">
      <c r="A249" s="4" t="s">
        <v>600</v>
      </c>
      <c r="B249" s="4" t="s">
        <v>592</v>
      </c>
      <c r="C249" s="4" t="s">
        <v>44</v>
      </c>
      <c r="D249" s="27">
        <v>45242</v>
      </c>
      <c r="E249" s="4" t="s">
        <v>29</v>
      </c>
      <c r="F249" s="4" t="s">
        <v>21</v>
      </c>
      <c r="G249" s="4" t="s">
        <v>601</v>
      </c>
      <c r="H249" s="4" t="s">
        <v>40</v>
      </c>
      <c r="I249" s="4">
        <v>9</v>
      </c>
      <c r="J249" s="4" t="s">
        <v>67</v>
      </c>
      <c r="K249" s="4">
        <v>60</v>
      </c>
      <c r="L249" s="4">
        <v>10</v>
      </c>
      <c r="M249" s="4" t="s">
        <v>33</v>
      </c>
      <c r="N249" s="28">
        <v>0.154131968202366</v>
      </c>
      <c r="O249" s="4" t="s">
        <v>68</v>
      </c>
      <c r="P249" s="4">
        <v>600</v>
      </c>
      <c r="Q249" s="4">
        <v>508</v>
      </c>
      <c r="R249" s="4">
        <v>21</v>
      </c>
    </row>
    <row r="250" spans="1:18">
      <c r="A250" s="4" t="s">
        <v>602</v>
      </c>
      <c r="B250" s="4" t="s">
        <v>594</v>
      </c>
      <c r="C250" s="4" t="s">
        <v>49</v>
      </c>
      <c r="D250" s="27">
        <v>45234</v>
      </c>
      <c r="E250" s="4" t="s">
        <v>20</v>
      </c>
      <c r="F250" s="4" t="s">
        <v>21</v>
      </c>
      <c r="G250" s="4" t="s">
        <v>603</v>
      </c>
      <c r="H250" s="4" t="s">
        <v>23</v>
      </c>
      <c r="I250" s="4">
        <v>9</v>
      </c>
      <c r="J250" s="4" t="s">
        <v>103</v>
      </c>
      <c r="K250" s="4">
        <v>95</v>
      </c>
      <c r="L250" s="4">
        <v>4</v>
      </c>
      <c r="M250" s="4" t="s">
        <v>33</v>
      </c>
      <c r="N250" s="28">
        <v>0.991472292726511</v>
      </c>
      <c r="O250" s="4" t="s">
        <v>104</v>
      </c>
      <c r="P250" s="4">
        <v>380</v>
      </c>
      <c r="Q250" s="4">
        <v>3</v>
      </c>
      <c r="R250" s="4">
        <v>32</v>
      </c>
    </row>
    <row r="251" spans="1:18">
      <c r="A251" s="4" t="s">
        <v>604</v>
      </c>
      <c r="B251" s="4" t="s">
        <v>596</v>
      </c>
      <c r="C251" s="4" t="s">
        <v>53</v>
      </c>
      <c r="D251" s="27">
        <v>45245</v>
      </c>
      <c r="E251" s="4" t="s">
        <v>29</v>
      </c>
      <c r="F251" s="4" t="s">
        <v>21</v>
      </c>
      <c r="G251" s="4" t="s">
        <v>605</v>
      </c>
      <c r="H251" s="4" t="s">
        <v>23</v>
      </c>
      <c r="I251" s="4">
        <v>7</v>
      </c>
      <c r="J251" s="4" t="s">
        <v>108</v>
      </c>
      <c r="K251" s="4">
        <v>72</v>
      </c>
      <c r="L251" s="4">
        <v>4</v>
      </c>
      <c r="M251" s="4" t="s">
        <v>33</v>
      </c>
      <c r="N251" s="28">
        <v>0.267925418382296</v>
      </c>
      <c r="O251" s="4" t="s">
        <v>26</v>
      </c>
      <c r="P251" s="4">
        <v>288</v>
      </c>
      <c r="Q251" s="4">
        <v>211</v>
      </c>
      <c r="R251" s="4">
        <v>29</v>
      </c>
    </row>
    <row r="252" spans="1:18">
      <c r="A252" s="4" t="s">
        <v>606</v>
      </c>
      <c r="B252" s="4" t="s">
        <v>598</v>
      </c>
      <c r="C252" s="4" t="s">
        <v>203</v>
      </c>
      <c r="D252" s="27">
        <v>45247</v>
      </c>
      <c r="E252" s="4" t="s">
        <v>20</v>
      </c>
      <c r="F252" s="4" t="s">
        <v>21</v>
      </c>
      <c r="G252" s="4" t="s">
        <v>607</v>
      </c>
      <c r="H252" s="4" t="s">
        <v>23</v>
      </c>
      <c r="I252" s="4">
        <v>9</v>
      </c>
      <c r="J252" s="4" t="s">
        <v>112</v>
      </c>
      <c r="K252" s="4">
        <v>65</v>
      </c>
      <c r="L252" s="4">
        <v>7</v>
      </c>
      <c r="M252" s="4" t="s">
        <v>33</v>
      </c>
      <c r="N252" s="28">
        <v>0.674002370075887</v>
      </c>
      <c r="O252" s="4" t="s">
        <v>34</v>
      </c>
      <c r="P252" s="4">
        <v>455</v>
      </c>
      <c r="Q252" s="4">
        <v>148</v>
      </c>
      <c r="R252" s="4">
        <v>17</v>
      </c>
    </row>
    <row r="253" spans="1:18">
      <c r="A253" s="4" t="s">
        <v>608</v>
      </c>
      <c r="B253" s="4" t="s">
        <v>600</v>
      </c>
      <c r="C253" s="4" t="s">
        <v>28</v>
      </c>
      <c r="D253" s="27">
        <v>45256</v>
      </c>
      <c r="E253" s="4" t="s">
        <v>29</v>
      </c>
      <c r="F253" s="4" t="s">
        <v>21</v>
      </c>
      <c r="G253" s="4" t="s">
        <v>609</v>
      </c>
      <c r="H253" s="4" t="s">
        <v>31</v>
      </c>
      <c r="I253" s="4">
        <v>7</v>
      </c>
      <c r="J253" s="4" t="s">
        <v>116</v>
      </c>
      <c r="K253" s="4">
        <v>250</v>
      </c>
      <c r="L253" s="4">
        <v>2</v>
      </c>
      <c r="M253" s="4" t="s">
        <v>25</v>
      </c>
      <c r="N253" s="28">
        <v>0.107790125674155</v>
      </c>
      <c r="O253" s="4" t="s">
        <v>42</v>
      </c>
      <c r="P253" s="4">
        <v>500</v>
      </c>
      <c r="Q253" s="4">
        <v>446</v>
      </c>
      <c r="R253" s="4">
        <v>63</v>
      </c>
    </row>
    <row r="254" spans="1:18">
      <c r="A254" s="4" t="s">
        <v>610</v>
      </c>
      <c r="B254" s="4" t="s">
        <v>602</v>
      </c>
      <c r="C254" s="4" t="s">
        <v>36</v>
      </c>
      <c r="D254" s="27">
        <v>45237</v>
      </c>
      <c r="E254" s="4" t="s">
        <v>37</v>
      </c>
      <c r="F254" s="4" t="s">
        <v>38</v>
      </c>
      <c r="G254" s="4" t="s">
        <v>611</v>
      </c>
      <c r="H254" s="4" t="s">
        <v>40</v>
      </c>
      <c r="I254" s="4">
        <v>8</v>
      </c>
      <c r="J254" s="4" t="s">
        <v>120</v>
      </c>
      <c r="K254" s="4">
        <v>130</v>
      </c>
      <c r="L254" s="4">
        <v>4</v>
      </c>
      <c r="M254" s="4" t="s">
        <v>25</v>
      </c>
      <c r="N254" s="28">
        <v>0.065825812137459</v>
      </c>
      <c r="O254" s="4" t="s">
        <v>47</v>
      </c>
      <c r="P254" s="4">
        <v>520</v>
      </c>
      <c r="Q254" s="4">
        <v>486</v>
      </c>
      <c r="R254" s="4">
        <v>61</v>
      </c>
    </row>
    <row r="255" spans="1:18">
      <c r="A255" s="4" t="s">
        <v>612</v>
      </c>
      <c r="B255" s="4" t="s">
        <v>604</v>
      </c>
      <c r="C255" s="4" t="s">
        <v>44</v>
      </c>
      <c r="D255" s="27">
        <v>45248</v>
      </c>
      <c r="E255" s="4" t="s">
        <v>20</v>
      </c>
      <c r="F255" s="4" t="s">
        <v>21</v>
      </c>
      <c r="G255" s="4" t="s">
        <v>613</v>
      </c>
      <c r="H255" s="4" t="s">
        <v>23</v>
      </c>
      <c r="I255" s="4">
        <v>6</v>
      </c>
      <c r="J255" s="4" t="s">
        <v>124</v>
      </c>
      <c r="K255" s="4">
        <v>72</v>
      </c>
      <c r="L255" s="4">
        <v>11</v>
      </c>
      <c r="M255" s="4" t="s">
        <v>25</v>
      </c>
      <c r="N255" s="28">
        <v>0.361673624805081</v>
      </c>
      <c r="O255" s="4" t="s">
        <v>26</v>
      </c>
      <c r="P255" s="4">
        <v>792</v>
      </c>
      <c r="Q255" s="4">
        <v>506</v>
      </c>
      <c r="R255" s="4">
        <v>37</v>
      </c>
    </row>
    <row r="256" spans="1:18">
      <c r="A256" s="4" t="s">
        <v>614</v>
      </c>
      <c r="B256" s="4" t="s">
        <v>606</v>
      </c>
      <c r="C256" s="4" t="s">
        <v>49</v>
      </c>
      <c r="D256" s="27">
        <v>45240</v>
      </c>
      <c r="E256" s="4" t="s">
        <v>29</v>
      </c>
      <c r="F256" s="4" t="s">
        <v>21</v>
      </c>
      <c r="G256" s="4" t="s">
        <v>615</v>
      </c>
      <c r="H256" s="4" t="s">
        <v>31</v>
      </c>
      <c r="I256" s="4">
        <v>2</v>
      </c>
      <c r="J256" s="4" t="s">
        <v>128</v>
      </c>
      <c r="K256" s="4">
        <v>65</v>
      </c>
      <c r="L256" s="4">
        <v>9</v>
      </c>
      <c r="M256" s="4" t="s">
        <v>33</v>
      </c>
      <c r="N256" s="28">
        <v>0.156112777107086</v>
      </c>
      <c r="O256" s="4" t="s">
        <v>34</v>
      </c>
      <c r="P256" s="4">
        <v>585</v>
      </c>
      <c r="Q256" s="4">
        <v>494</v>
      </c>
      <c r="R256" s="4">
        <v>33</v>
      </c>
    </row>
    <row r="257" spans="1:18">
      <c r="A257" s="4" t="s">
        <v>616</v>
      </c>
      <c r="B257" s="4" t="s">
        <v>608</v>
      </c>
      <c r="C257" s="4" t="s">
        <v>53</v>
      </c>
      <c r="D257" s="27">
        <v>45258</v>
      </c>
      <c r="E257" s="4" t="s">
        <v>29</v>
      </c>
      <c r="F257" s="4" t="s">
        <v>21</v>
      </c>
      <c r="G257" s="4" t="s">
        <v>617</v>
      </c>
      <c r="H257" s="4" t="s">
        <v>40</v>
      </c>
      <c r="I257" s="4">
        <v>4</v>
      </c>
      <c r="J257" s="4" t="s">
        <v>63</v>
      </c>
      <c r="K257" s="4">
        <v>250</v>
      </c>
      <c r="L257" s="4">
        <v>2</v>
      </c>
      <c r="M257" s="4" t="s">
        <v>33</v>
      </c>
      <c r="N257" s="28">
        <v>0.118929629479385</v>
      </c>
      <c r="O257" s="4" t="s">
        <v>42</v>
      </c>
      <c r="P257" s="4">
        <v>500</v>
      </c>
      <c r="Q257" s="4">
        <v>441</v>
      </c>
      <c r="R257" s="4">
        <v>153</v>
      </c>
    </row>
    <row r="258" spans="1:18">
      <c r="A258" s="4" t="s">
        <v>618</v>
      </c>
      <c r="B258" s="4" t="s">
        <v>610</v>
      </c>
      <c r="C258" s="4" t="s">
        <v>61</v>
      </c>
      <c r="D258" s="27">
        <v>45239</v>
      </c>
      <c r="E258" s="4" t="s">
        <v>20</v>
      </c>
      <c r="F258" s="4" t="s">
        <v>21</v>
      </c>
      <c r="G258" s="4" t="s">
        <v>619</v>
      </c>
      <c r="H258" s="4" t="s">
        <v>23</v>
      </c>
      <c r="I258" s="4">
        <v>1</v>
      </c>
      <c r="J258" s="4" t="s">
        <v>67</v>
      </c>
      <c r="K258" s="4">
        <v>130</v>
      </c>
      <c r="L258" s="4">
        <v>5</v>
      </c>
      <c r="M258" s="4" t="s">
        <v>33</v>
      </c>
      <c r="N258" s="28">
        <v>0.941784984823483</v>
      </c>
      <c r="O258" s="4" t="s">
        <v>47</v>
      </c>
      <c r="P258" s="4">
        <v>650</v>
      </c>
      <c r="Q258" s="4">
        <v>38</v>
      </c>
      <c r="R258" s="4">
        <v>53</v>
      </c>
    </row>
    <row r="259" spans="1:18">
      <c r="A259" s="4" t="s">
        <v>620</v>
      </c>
      <c r="B259" s="4" t="s">
        <v>612</v>
      </c>
      <c r="C259" s="4" t="s">
        <v>61</v>
      </c>
      <c r="D259" s="27">
        <v>45250</v>
      </c>
      <c r="E259" s="4" t="s">
        <v>29</v>
      </c>
      <c r="F259" s="4" t="s">
        <v>21</v>
      </c>
      <c r="G259" s="4" t="s">
        <v>621</v>
      </c>
      <c r="H259" s="4" t="s">
        <v>31</v>
      </c>
      <c r="I259" s="4">
        <v>9</v>
      </c>
      <c r="J259" s="4" t="s">
        <v>71</v>
      </c>
      <c r="K259" s="4">
        <v>60</v>
      </c>
      <c r="L259" s="4">
        <v>5</v>
      </c>
      <c r="M259" s="4" t="s">
        <v>33</v>
      </c>
      <c r="N259" s="28">
        <v>0.82224390590219</v>
      </c>
      <c r="O259" s="4" t="s">
        <v>68</v>
      </c>
      <c r="P259" s="4">
        <v>300</v>
      </c>
      <c r="Q259" s="4">
        <v>53</v>
      </c>
      <c r="R259" s="4">
        <v>28</v>
      </c>
    </row>
    <row r="260" spans="1:18">
      <c r="A260" s="4" t="s">
        <v>622</v>
      </c>
      <c r="B260" s="4" t="s">
        <v>614</v>
      </c>
      <c r="C260" s="4" t="s">
        <v>65</v>
      </c>
      <c r="D260" s="27">
        <v>45240</v>
      </c>
      <c r="E260" s="4" t="s">
        <v>29</v>
      </c>
      <c r="F260" s="4" t="s">
        <v>38</v>
      </c>
      <c r="G260" s="4" t="s">
        <v>623</v>
      </c>
      <c r="H260" s="4" t="s">
        <v>40</v>
      </c>
      <c r="I260" s="4">
        <v>6</v>
      </c>
      <c r="J260" s="4" t="s">
        <v>120</v>
      </c>
      <c r="K260" s="4">
        <v>72</v>
      </c>
      <c r="L260" s="4">
        <v>10</v>
      </c>
      <c r="M260" s="4" t="s">
        <v>33</v>
      </c>
      <c r="N260" s="28">
        <v>0.0154730358267962</v>
      </c>
      <c r="O260" s="4" t="s">
        <v>26</v>
      </c>
      <c r="P260" s="4">
        <v>720</v>
      </c>
      <c r="Q260" s="4">
        <v>709</v>
      </c>
      <c r="R260" s="4">
        <v>42</v>
      </c>
    </row>
    <row r="261" spans="1:18">
      <c r="A261" s="4" t="s">
        <v>624</v>
      </c>
      <c r="B261" s="4" t="s">
        <v>616</v>
      </c>
      <c r="C261" s="4" t="s">
        <v>53</v>
      </c>
      <c r="D261" s="27">
        <v>45239</v>
      </c>
      <c r="E261" s="4" t="s">
        <v>20</v>
      </c>
      <c r="F261" s="4" t="s">
        <v>21</v>
      </c>
      <c r="G261" s="4" t="s">
        <v>625</v>
      </c>
      <c r="H261" s="4" t="s">
        <v>23</v>
      </c>
      <c r="I261" s="4">
        <v>9</v>
      </c>
      <c r="J261" s="4" t="s">
        <v>86</v>
      </c>
      <c r="K261" s="4">
        <v>65</v>
      </c>
      <c r="L261" s="4">
        <v>3</v>
      </c>
      <c r="M261" s="4" t="s">
        <v>33</v>
      </c>
      <c r="N261" s="28">
        <v>0.570021894828855</v>
      </c>
      <c r="O261" s="4" t="s">
        <v>34</v>
      </c>
      <c r="P261" s="4">
        <v>195</v>
      </c>
      <c r="Q261" s="4">
        <v>84</v>
      </c>
      <c r="R261" s="4">
        <v>42</v>
      </c>
    </row>
    <row r="262" spans="1:18">
      <c r="A262" s="4" t="s">
        <v>626</v>
      </c>
      <c r="B262" s="4" t="s">
        <v>618</v>
      </c>
      <c r="C262" s="4" t="s">
        <v>73</v>
      </c>
      <c r="D262" s="27">
        <v>45259</v>
      </c>
      <c r="E262" s="4" t="s">
        <v>29</v>
      </c>
      <c r="F262" s="4" t="s">
        <v>21</v>
      </c>
      <c r="G262" s="4" t="s">
        <v>627</v>
      </c>
      <c r="H262" s="4" t="s">
        <v>31</v>
      </c>
      <c r="I262" s="4">
        <v>9</v>
      </c>
      <c r="J262" s="4" t="s">
        <v>120</v>
      </c>
      <c r="K262" s="4">
        <v>250</v>
      </c>
      <c r="L262" s="4">
        <v>3</v>
      </c>
      <c r="M262" s="4" t="s">
        <v>25</v>
      </c>
      <c r="N262" s="28">
        <v>0.221691234625235</v>
      </c>
      <c r="O262" s="4" t="s">
        <v>42</v>
      </c>
      <c r="P262" s="4">
        <v>750</v>
      </c>
      <c r="Q262" s="4">
        <v>584</v>
      </c>
      <c r="R262" s="4">
        <v>118</v>
      </c>
    </row>
    <row r="263" spans="1:18">
      <c r="A263" s="4" t="s">
        <v>628</v>
      </c>
      <c r="B263" s="4" t="s">
        <v>620</v>
      </c>
      <c r="C263" s="4"/>
      <c r="D263" s="27">
        <v>45231</v>
      </c>
      <c r="E263" s="4" t="s">
        <v>37</v>
      </c>
      <c r="F263" s="4" t="s">
        <v>21</v>
      </c>
      <c r="G263" s="4" t="s">
        <v>629</v>
      </c>
      <c r="H263" s="4" t="s">
        <v>40</v>
      </c>
      <c r="I263" s="4">
        <v>3</v>
      </c>
      <c r="J263" s="4" t="s">
        <v>86</v>
      </c>
      <c r="K263" s="4">
        <v>130</v>
      </c>
      <c r="L263" s="4">
        <v>6</v>
      </c>
      <c r="M263" s="4" t="s">
        <v>33</v>
      </c>
      <c r="N263" s="28">
        <v>0.163277126633513</v>
      </c>
      <c r="O263" s="4" t="s">
        <v>47</v>
      </c>
      <c r="P263" s="4">
        <v>780</v>
      </c>
      <c r="Q263" s="4">
        <v>653</v>
      </c>
      <c r="R263" s="4">
        <v>55</v>
      </c>
    </row>
    <row r="264" spans="1:18">
      <c r="A264" s="4" t="s">
        <v>630</v>
      </c>
      <c r="B264" s="4" t="s">
        <v>622</v>
      </c>
      <c r="C264" s="4" t="s">
        <v>229</v>
      </c>
      <c r="D264" s="27">
        <v>45245</v>
      </c>
      <c r="E264" s="4" t="s">
        <v>20</v>
      </c>
      <c r="F264" s="4" t="s">
        <v>21</v>
      </c>
      <c r="G264" s="4" t="s">
        <v>631</v>
      </c>
      <c r="H264" s="4" t="s">
        <v>23</v>
      </c>
      <c r="I264" s="4">
        <v>2</v>
      </c>
      <c r="J264" s="4" t="s">
        <v>120</v>
      </c>
      <c r="K264" s="4">
        <v>72</v>
      </c>
      <c r="L264" s="4">
        <v>9</v>
      </c>
      <c r="M264" s="4" t="s">
        <v>25</v>
      </c>
      <c r="N264" s="28">
        <v>0.714318492396904</v>
      </c>
      <c r="O264" s="4" t="s">
        <v>26</v>
      </c>
      <c r="P264" s="4">
        <v>648</v>
      </c>
      <c r="Q264" s="4">
        <v>185</v>
      </c>
      <c r="R264" s="4">
        <v>43</v>
      </c>
    </row>
    <row r="265" spans="1:18">
      <c r="A265" s="4" t="s">
        <v>632</v>
      </c>
      <c r="B265" s="4" t="s">
        <v>624</v>
      </c>
      <c r="C265" s="4" t="s">
        <v>84</v>
      </c>
      <c r="D265" s="27">
        <v>45237</v>
      </c>
      <c r="E265" s="4" t="s">
        <v>29</v>
      </c>
      <c r="F265" s="4" t="s">
        <v>21</v>
      </c>
      <c r="G265" s="4" t="s">
        <v>633</v>
      </c>
      <c r="H265" s="4" t="s">
        <v>31</v>
      </c>
      <c r="I265" s="4">
        <v>3</v>
      </c>
      <c r="J265" s="4" t="s">
        <v>86</v>
      </c>
      <c r="K265" s="4">
        <v>65</v>
      </c>
      <c r="L265" s="4">
        <v>7</v>
      </c>
      <c r="M265" s="4" t="s">
        <v>33</v>
      </c>
      <c r="N265" s="28">
        <v>0.581514910163867</v>
      </c>
      <c r="O265" s="4" t="s">
        <v>34</v>
      </c>
      <c r="P265" s="4">
        <v>455</v>
      </c>
      <c r="Q265" s="4">
        <v>190</v>
      </c>
      <c r="R265" s="4">
        <v>22</v>
      </c>
    </row>
    <row r="266" spans="1:18">
      <c r="A266" s="4" t="s">
        <v>634</v>
      </c>
      <c r="B266" s="4" t="s">
        <v>626</v>
      </c>
      <c r="C266" s="4" t="s">
        <v>53</v>
      </c>
      <c r="D266" s="27">
        <v>45249</v>
      </c>
      <c r="E266" s="4" t="s">
        <v>37</v>
      </c>
      <c r="F266" s="4" t="s">
        <v>38</v>
      </c>
      <c r="G266" s="4" t="s">
        <v>635</v>
      </c>
      <c r="H266" s="4" t="s">
        <v>40</v>
      </c>
      <c r="I266" s="4">
        <v>10</v>
      </c>
      <c r="J266" s="4" t="s">
        <v>120</v>
      </c>
      <c r="K266" s="4">
        <v>250</v>
      </c>
      <c r="L266" s="4">
        <v>1</v>
      </c>
      <c r="M266" s="4" t="s">
        <v>25</v>
      </c>
      <c r="N266" s="28">
        <v>0.940255000858455</v>
      </c>
      <c r="O266" s="4" t="s">
        <v>42</v>
      </c>
      <c r="P266" s="4">
        <v>250</v>
      </c>
      <c r="Q266" s="4">
        <v>15</v>
      </c>
      <c r="R266" s="4">
        <v>158</v>
      </c>
    </row>
    <row r="267" spans="1:18">
      <c r="A267" s="4" t="s">
        <v>636</v>
      </c>
      <c r="B267" s="4" t="s">
        <v>628</v>
      </c>
      <c r="C267" s="4" t="s">
        <v>91</v>
      </c>
      <c r="D267" s="27">
        <v>45242</v>
      </c>
      <c r="E267" s="4" t="s">
        <v>20</v>
      </c>
      <c r="F267" s="4" t="s">
        <v>21</v>
      </c>
      <c r="G267" s="4" t="s">
        <v>637</v>
      </c>
      <c r="H267" s="4" t="s">
        <v>23</v>
      </c>
      <c r="I267" s="4">
        <v>3</v>
      </c>
      <c r="J267" s="4" t="s">
        <v>86</v>
      </c>
      <c r="K267" s="4">
        <v>130</v>
      </c>
      <c r="L267" s="4">
        <v>3</v>
      </c>
      <c r="M267" s="4" t="s">
        <v>33</v>
      </c>
      <c r="N267" s="28">
        <v>0.856960077333762</v>
      </c>
      <c r="O267" s="4" t="s">
        <v>47</v>
      </c>
      <c r="P267" s="4">
        <v>390</v>
      </c>
      <c r="Q267" s="4">
        <v>56</v>
      </c>
      <c r="R267" s="4">
        <v>85</v>
      </c>
    </row>
    <row r="268" spans="1:18">
      <c r="A268" s="4" t="s">
        <v>638</v>
      </c>
      <c r="B268" s="4" t="s">
        <v>630</v>
      </c>
      <c r="C268" s="4" t="s">
        <v>77</v>
      </c>
      <c r="D268" s="27">
        <v>45253</v>
      </c>
      <c r="E268" s="4" t="s">
        <v>29</v>
      </c>
      <c r="F268" s="4" t="s">
        <v>21</v>
      </c>
      <c r="G268" s="4" t="s">
        <v>639</v>
      </c>
      <c r="H268" s="4" t="s">
        <v>31</v>
      </c>
      <c r="I268" s="4">
        <v>1</v>
      </c>
      <c r="J268" s="4" t="s">
        <v>120</v>
      </c>
      <c r="K268" s="4">
        <v>60</v>
      </c>
      <c r="L268" s="4">
        <v>6</v>
      </c>
      <c r="M268" s="4" t="s">
        <v>25</v>
      </c>
      <c r="N268" s="28">
        <v>0.737046706320377</v>
      </c>
      <c r="O268" s="4" t="s">
        <v>68</v>
      </c>
      <c r="P268" s="4">
        <v>360</v>
      </c>
      <c r="Q268" s="4">
        <v>95</v>
      </c>
      <c r="R268" s="4">
        <v>20</v>
      </c>
    </row>
    <row r="269" spans="1:18">
      <c r="A269" s="4" t="s">
        <v>640</v>
      </c>
      <c r="B269" s="4" t="s">
        <v>632</v>
      </c>
      <c r="C269" s="4" t="s">
        <v>49</v>
      </c>
      <c r="D269" s="27">
        <v>45239</v>
      </c>
      <c r="E269" s="4" t="s">
        <v>37</v>
      </c>
      <c r="F269" s="4" t="s">
        <v>21</v>
      </c>
      <c r="G269" s="4" t="s">
        <v>641</v>
      </c>
      <c r="H269" s="4" t="s">
        <v>40</v>
      </c>
      <c r="I269" s="4">
        <v>5</v>
      </c>
      <c r="J269" s="4" t="s">
        <v>86</v>
      </c>
      <c r="K269" s="4">
        <v>95</v>
      </c>
      <c r="L269" s="4">
        <v>5</v>
      </c>
      <c r="M269" s="4" t="s">
        <v>33</v>
      </c>
      <c r="N269" s="28">
        <v>0.995566745643514</v>
      </c>
      <c r="O269" s="4" t="s">
        <v>104</v>
      </c>
      <c r="P269" s="4">
        <v>475</v>
      </c>
      <c r="Q269" s="4">
        <v>2</v>
      </c>
      <c r="R269" s="4">
        <v>49</v>
      </c>
    </row>
    <row r="270" spans="1:18">
      <c r="A270" s="4" t="s">
        <v>642</v>
      </c>
      <c r="B270" s="4" t="s">
        <v>634</v>
      </c>
      <c r="C270" s="4" t="s">
        <v>101</v>
      </c>
      <c r="D270" s="27">
        <v>45248</v>
      </c>
      <c r="E270" s="4" t="s">
        <v>20</v>
      </c>
      <c r="F270" s="4" t="s">
        <v>21</v>
      </c>
      <c r="G270" s="4" t="s">
        <v>643</v>
      </c>
      <c r="H270" s="4" t="s">
        <v>23</v>
      </c>
      <c r="I270" s="4">
        <v>1</v>
      </c>
      <c r="J270" s="4" t="s">
        <v>120</v>
      </c>
      <c r="K270" s="4">
        <v>72</v>
      </c>
      <c r="L270" s="4">
        <v>8</v>
      </c>
      <c r="M270" s="4" t="s">
        <v>25</v>
      </c>
      <c r="N270" s="28">
        <v>0.82336237784946</v>
      </c>
      <c r="O270" s="4" t="s">
        <v>26</v>
      </c>
      <c r="P270" s="4">
        <v>576</v>
      </c>
      <c r="Q270" s="4">
        <v>102</v>
      </c>
      <c r="R270" s="4">
        <v>46</v>
      </c>
    </row>
    <row r="271" spans="1:18">
      <c r="A271" s="4" t="s">
        <v>644</v>
      </c>
      <c r="B271" s="4" t="s">
        <v>636</v>
      </c>
      <c r="C271" s="4" t="s">
        <v>106</v>
      </c>
      <c r="D271" s="27">
        <v>45246</v>
      </c>
      <c r="E271" s="4" t="s">
        <v>29</v>
      </c>
      <c r="F271" s="4" t="s">
        <v>21</v>
      </c>
      <c r="G271" s="4" t="s">
        <v>645</v>
      </c>
      <c r="H271" s="4" t="s">
        <v>31</v>
      </c>
      <c r="I271" s="4">
        <v>5</v>
      </c>
      <c r="J271" s="4" t="s">
        <v>86</v>
      </c>
      <c r="K271" s="4">
        <v>65</v>
      </c>
      <c r="L271" s="4">
        <v>13</v>
      </c>
      <c r="M271" s="4" t="s">
        <v>33</v>
      </c>
      <c r="N271" s="28">
        <v>0.214298570638055</v>
      </c>
      <c r="O271" s="4" t="s">
        <v>34</v>
      </c>
      <c r="P271" s="4">
        <v>845</v>
      </c>
      <c r="Q271" s="4">
        <v>664</v>
      </c>
      <c r="R271" s="4">
        <v>36</v>
      </c>
    </row>
    <row r="272" spans="1:18">
      <c r="A272" s="4" t="s">
        <v>646</v>
      </c>
      <c r="B272" s="4" t="s">
        <v>638</v>
      </c>
      <c r="C272" s="4" t="s">
        <v>110</v>
      </c>
      <c r="D272" s="27">
        <v>45239</v>
      </c>
      <c r="E272" s="4" t="s">
        <v>29</v>
      </c>
      <c r="F272" s="4" t="s">
        <v>38</v>
      </c>
      <c r="G272" s="4" t="s">
        <v>647</v>
      </c>
      <c r="H272" s="4" t="s">
        <v>40</v>
      </c>
      <c r="I272" s="4">
        <v>5</v>
      </c>
      <c r="J272" s="4" t="s">
        <v>120</v>
      </c>
      <c r="K272" s="4">
        <v>250</v>
      </c>
      <c r="L272" s="4">
        <v>2</v>
      </c>
      <c r="M272" s="4" t="s">
        <v>25</v>
      </c>
      <c r="N272" s="28">
        <v>0.985824636871124</v>
      </c>
      <c r="O272" s="4" t="s">
        <v>42</v>
      </c>
      <c r="P272" s="4">
        <v>500</v>
      </c>
      <c r="Q272" s="4">
        <v>7</v>
      </c>
      <c r="R272" s="4">
        <v>138</v>
      </c>
    </row>
    <row r="273" spans="1:18">
      <c r="A273" s="4" t="s">
        <v>648</v>
      </c>
      <c r="B273" s="4" t="s">
        <v>640</v>
      </c>
      <c r="C273" s="4" t="s">
        <v>114</v>
      </c>
      <c r="D273" s="27">
        <v>45254</v>
      </c>
      <c r="E273" s="4" t="s">
        <v>20</v>
      </c>
      <c r="F273" s="4" t="s">
        <v>21</v>
      </c>
      <c r="G273" s="4" t="s">
        <v>649</v>
      </c>
      <c r="H273" s="4" t="s">
        <v>23</v>
      </c>
      <c r="I273" s="4">
        <v>3</v>
      </c>
      <c r="J273" s="4" t="s">
        <v>86</v>
      </c>
      <c r="K273" s="4">
        <v>130</v>
      </c>
      <c r="L273" s="4">
        <v>6</v>
      </c>
      <c r="M273" s="4" t="s">
        <v>33</v>
      </c>
      <c r="N273" s="28">
        <v>0.0207878570041939</v>
      </c>
      <c r="O273" s="4" t="s">
        <v>47</v>
      </c>
      <c r="P273" s="4">
        <v>780</v>
      </c>
      <c r="Q273" s="4">
        <v>764</v>
      </c>
      <c r="R273" s="4">
        <v>52</v>
      </c>
    </row>
    <row r="274" spans="1:18">
      <c r="A274" s="4" t="s">
        <v>650</v>
      </c>
      <c r="B274" s="4" t="s">
        <v>642</v>
      </c>
      <c r="C274" s="4" t="s">
        <v>118</v>
      </c>
      <c r="D274" s="27">
        <v>45244</v>
      </c>
      <c r="E274" s="4" t="s">
        <v>29</v>
      </c>
      <c r="F274" s="4" t="s">
        <v>21</v>
      </c>
      <c r="G274" s="4" t="s">
        <v>651</v>
      </c>
      <c r="H274" s="4" t="s">
        <v>31</v>
      </c>
      <c r="I274" s="4">
        <v>3</v>
      </c>
      <c r="J274" s="4" t="s">
        <v>120</v>
      </c>
      <c r="K274" s="4">
        <v>72</v>
      </c>
      <c r="L274" s="4">
        <v>8</v>
      </c>
      <c r="M274" s="4" t="s">
        <v>25</v>
      </c>
      <c r="N274" s="28">
        <v>0.404304155110682</v>
      </c>
      <c r="O274" s="4" t="s">
        <v>26</v>
      </c>
      <c r="P274" s="4">
        <v>576</v>
      </c>
      <c r="Q274" s="4">
        <v>343</v>
      </c>
      <c r="R274" s="4">
        <v>25</v>
      </c>
    </row>
    <row r="275" spans="1:18">
      <c r="A275" s="4" t="s">
        <v>652</v>
      </c>
      <c r="B275" s="4" t="s">
        <v>644</v>
      </c>
      <c r="C275" s="4" t="s">
        <v>122</v>
      </c>
      <c r="D275" s="27">
        <v>45246</v>
      </c>
      <c r="E275" s="4" t="s">
        <v>37</v>
      </c>
      <c r="F275" s="4" t="s">
        <v>21</v>
      </c>
      <c r="G275" s="4" t="s">
        <v>653</v>
      </c>
      <c r="H275" s="4" t="s">
        <v>40</v>
      </c>
      <c r="I275" s="4">
        <v>7</v>
      </c>
      <c r="J275" s="4" t="s">
        <v>86</v>
      </c>
      <c r="K275" s="4">
        <v>65</v>
      </c>
      <c r="L275" s="4">
        <v>6</v>
      </c>
      <c r="M275" s="4" t="s">
        <v>33</v>
      </c>
      <c r="N275" s="28">
        <v>0.862289362163704</v>
      </c>
      <c r="O275" s="4" t="s">
        <v>34</v>
      </c>
      <c r="P275" s="4">
        <v>390</v>
      </c>
      <c r="Q275" s="4">
        <v>54</v>
      </c>
      <c r="R275" s="4">
        <v>39</v>
      </c>
    </row>
    <row r="276" spans="1:18">
      <c r="A276" s="4" t="s">
        <v>654</v>
      </c>
      <c r="B276" s="4" t="s">
        <v>646</v>
      </c>
      <c r="C276" s="4" t="s">
        <v>126</v>
      </c>
      <c r="D276" s="27">
        <v>45256</v>
      </c>
      <c r="E276" s="4" t="s">
        <v>20</v>
      </c>
      <c r="F276" s="4" t="s">
        <v>21</v>
      </c>
      <c r="G276" s="4" t="s">
        <v>655</v>
      </c>
      <c r="H276" s="4" t="s">
        <v>23</v>
      </c>
      <c r="I276" s="4">
        <v>4</v>
      </c>
      <c r="J276" s="4" t="s">
        <v>120</v>
      </c>
      <c r="K276" s="4">
        <v>250</v>
      </c>
      <c r="L276" s="4">
        <v>3</v>
      </c>
      <c r="M276" s="4" t="s">
        <v>25</v>
      </c>
      <c r="N276" s="28">
        <v>0.202672002623937</v>
      </c>
      <c r="O276" s="4" t="s">
        <v>42</v>
      </c>
      <c r="P276" s="4">
        <v>750</v>
      </c>
      <c r="Q276" s="4">
        <v>598</v>
      </c>
      <c r="R276" s="4">
        <v>73</v>
      </c>
    </row>
    <row r="277" spans="1:18">
      <c r="A277" s="4" t="s">
        <v>656</v>
      </c>
      <c r="B277" s="4" t="s">
        <v>648</v>
      </c>
      <c r="C277" s="4" t="s">
        <v>130</v>
      </c>
      <c r="D277" s="27">
        <v>45231</v>
      </c>
      <c r="E277" s="4" t="s">
        <v>29</v>
      </c>
      <c r="F277" s="4" t="s">
        <v>21</v>
      </c>
      <c r="G277" s="4" t="s">
        <v>657</v>
      </c>
      <c r="H277" s="4" t="s">
        <v>31</v>
      </c>
      <c r="I277" s="4">
        <v>3</v>
      </c>
      <c r="J277" s="4" t="s">
        <v>86</v>
      </c>
      <c r="K277" s="4">
        <v>72</v>
      </c>
      <c r="L277" s="4">
        <v>6</v>
      </c>
      <c r="M277" s="4" t="s">
        <v>33</v>
      </c>
      <c r="N277" s="28">
        <v>0.42721330596563</v>
      </c>
      <c r="O277" s="4" t="s">
        <v>26</v>
      </c>
      <c r="P277" s="4">
        <v>432</v>
      </c>
      <c r="Q277" s="4">
        <v>247</v>
      </c>
      <c r="R277" s="4">
        <v>38</v>
      </c>
    </row>
    <row r="278" spans="1:18">
      <c r="A278" s="4" t="s">
        <v>658</v>
      </c>
      <c r="B278" s="4" t="s">
        <v>650</v>
      </c>
      <c r="C278" s="4" t="s">
        <v>134</v>
      </c>
      <c r="D278" s="27">
        <v>45240</v>
      </c>
      <c r="E278" s="4" t="s">
        <v>37</v>
      </c>
      <c r="F278" s="4" t="s">
        <v>38</v>
      </c>
      <c r="G278" s="4" t="s">
        <v>659</v>
      </c>
      <c r="H278" s="4" t="s">
        <v>40</v>
      </c>
      <c r="I278" s="4">
        <v>8</v>
      </c>
      <c r="J278" s="4" t="s">
        <v>120</v>
      </c>
      <c r="K278" s="4">
        <v>65</v>
      </c>
      <c r="L278" s="4">
        <v>13</v>
      </c>
      <c r="M278" s="4" t="s">
        <v>25</v>
      </c>
      <c r="N278" s="28">
        <v>0.871081499708974</v>
      </c>
      <c r="O278" s="4" t="s">
        <v>34</v>
      </c>
      <c r="P278" s="4">
        <v>845</v>
      </c>
      <c r="Q278" s="4">
        <v>109</v>
      </c>
      <c r="R278" s="4">
        <v>27</v>
      </c>
    </row>
    <row r="279" spans="1:18">
      <c r="A279" s="4" t="s">
        <v>660</v>
      </c>
      <c r="B279" s="4" t="s">
        <v>652</v>
      </c>
      <c r="C279" s="4" t="s">
        <v>139</v>
      </c>
      <c r="D279" s="27">
        <v>45254</v>
      </c>
      <c r="E279" s="4" t="s">
        <v>20</v>
      </c>
      <c r="F279" s="4" t="s">
        <v>21</v>
      </c>
      <c r="G279" s="4" t="s">
        <v>661</v>
      </c>
      <c r="H279" s="4" t="s">
        <v>23</v>
      </c>
      <c r="I279" s="4">
        <v>2</v>
      </c>
      <c r="J279" s="4" t="s">
        <v>86</v>
      </c>
      <c r="K279" s="4">
        <v>250</v>
      </c>
      <c r="L279" s="4">
        <v>1</v>
      </c>
      <c r="M279" s="4" t="s">
        <v>33</v>
      </c>
      <c r="N279" s="28">
        <v>0.0263580097169567</v>
      </c>
      <c r="O279" s="4" t="s">
        <v>42</v>
      </c>
      <c r="P279" s="4">
        <v>250</v>
      </c>
      <c r="Q279" s="4">
        <v>243</v>
      </c>
      <c r="R279" s="4">
        <v>145</v>
      </c>
    </row>
    <row r="280" spans="1:18">
      <c r="A280" s="4" t="s">
        <v>662</v>
      </c>
      <c r="B280" s="4" t="s">
        <v>654</v>
      </c>
      <c r="C280" s="4" t="s">
        <v>143</v>
      </c>
      <c r="D280" s="27">
        <v>45235</v>
      </c>
      <c r="E280" s="4" t="s">
        <v>29</v>
      </c>
      <c r="F280" s="4" t="s">
        <v>21</v>
      </c>
      <c r="G280" s="4" t="s">
        <v>663</v>
      </c>
      <c r="H280" s="4" t="s">
        <v>31</v>
      </c>
      <c r="I280" s="4">
        <v>9</v>
      </c>
      <c r="J280" s="4" t="s">
        <v>120</v>
      </c>
      <c r="K280" s="4">
        <v>130</v>
      </c>
      <c r="L280" s="4">
        <v>3</v>
      </c>
      <c r="M280" s="4" t="s">
        <v>33</v>
      </c>
      <c r="N280" s="28">
        <v>0.777677857403506</v>
      </c>
      <c r="O280" s="4" t="s">
        <v>47</v>
      </c>
      <c r="P280" s="4">
        <v>390</v>
      </c>
      <c r="Q280" s="4">
        <v>87</v>
      </c>
      <c r="R280" s="4">
        <v>82</v>
      </c>
    </row>
    <row r="281" spans="1:18">
      <c r="A281" s="4" t="s">
        <v>664</v>
      </c>
      <c r="B281" s="4" t="s">
        <v>656</v>
      </c>
      <c r="C281" s="4" t="s">
        <v>146</v>
      </c>
      <c r="D281" s="27">
        <v>45257</v>
      </c>
      <c r="E281" s="4" t="s">
        <v>37</v>
      </c>
      <c r="F281" s="4" t="s">
        <v>21</v>
      </c>
      <c r="G281" s="4" t="s">
        <v>665</v>
      </c>
      <c r="H281" s="4" t="s">
        <v>40</v>
      </c>
      <c r="I281" s="4">
        <v>6</v>
      </c>
      <c r="J281" s="4" t="s">
        <v>86</v>
      </c>
      <c r="K281" s="4">
        <v>72</v>
      </c>
      <c r="L281" s="4">
        <v>3</v>
      </c>
      <c r="M281" s="4" t="s">
        <v>33</v>
      </c>
      <c r="N281" s="28">
        <v>0.686825651441075</v>
      </c>
      <c r="O281" s="4" t="s">
        <v>26</v>
      </c>
      <c r="P281" s="4">
        <v>216</v>
      </c>
      <c r="Q281" s="4">
        <v>68</v>
      </c>
      <c r="R281" s="4">
        <v>29</v>
      </c>
    </row>
    <row r="282" spans="1:18">
      <c r="A282" s="4" t="s">
        <v>666</v>
      </c>
      <c r="B282" s="4" t="s">
        <v>658</v>
      </c>
      <c r="C282" s="4" t="s">
        <v>149</v>
      </c>
      <c r="D282" s="27">
        <v>45258</v>
      </c>
      <c r="E282" s="4" t="s">
        <v>20</v>
      </c>
      <c r="F282" s="4" t="s">
        <v>21</v>
      </c>
      <c r="G282" s="4" t="s">
        <v>667</v>
      </c>
      <c r="H282" s="4" t="s">
        <v>23</v>
      </c>
      <c r="I282" s="4">
        <v>7</v>
      </c>
      <c r="J282" s="4" t="s">
        <v>120</v>
      </c>
      <c r="K282" s="4">
        <v>65</v>
      </c>
      <c r="L282" s="4">
        <v>14</v>
      </c>
      <c r="M282" s="4" t="s">
        <v>33</v>
      </c>
      <c r="N282" s="28">
        <v>0.582691099408791</v>
      </c>
      <c r="O282" s="4" t="s">
        <v>34</v>
      </c>
      <c r="P282" s="4">
        <v>910</v>
      </c>
      <c r="Q282" s="4">
        <v>380</v>
      </c>
      <c r="R282" s="4">
        <v>29</v>
      </c>
    </row>
    <row r="283" spans="1:18">
      <c r="A283" s="4" t="s">
        <v>668</v>
      </c>
      <c r="B283" s="4" t="s">
        <v>660</v>
      </c>
      <c r="C283" s="4" t="s">
        <v>152</v>
      </c>
      <c r="D283" s="27">
        <v>45233</v>
      </c>
      <c r="E283" s="4" t="s">
        <v>29</v>
      </c>
      <c r="F283" s="4" t="s">
        <v>21</v>
      </c>
      <c r="G283" s="4" t="s">
        <v>669</v>
      </c>
      <c r="H283" s="4" t="s">
        <v>31</v>
      </c>
      <c r="I283" s="4">
        <v>9</v>
      </c>
      <c r="J283" s="4" t="s">
        <v>86</v>
      </c>
      <c r="K283" s="4">
        <v>250</v>
      </c>
      <c r="L283" s="4">
        <v>3</v>
      </c>
      <c r="M283" s="4" t="s">
        <v>33</v>
      </c>
      <c r="N283" s="28">
        <v>0.443399082757208</v>
      </c>
      <c r="O283" s="4" t="s">
        <v>42</v>
      </c>
      <c r="P283" s="4">
        <v>750</v>
      </c>
      <c r="Q283" s="4">
        <v>417</v>
      </c>
      <c r="R283" s="4">
        <v>115</v>
      </c>
    </row>
    <row r="284" spans="1:18">
      <c r="A284" s="4" t="s">
        <v>670</v>
      </c>
      <c r="B284" s="4" t="s">
        <v>662</v>
      </c>
      <c r="C284" s="4" t="s">
        <v>84</v>
      </c>
      <c r="D284" s="27">
        <v>45260</v>
      </c>
      <c r="E284" s="4" t="s">
        <v>29</v>
      </c>
      <c r="F284" s="4" t="s">
        <v>38</v>
      </c>
      <c r="G284" s="4" t="s">
        <v>671</v>
      </c>
      <c r="H284" s="4" t="s">
        <v>40</v>
      </c>
      <c r="I284" s="4">
        <v>2</v>
      </c>
      <c r="J284" s="4" t="s">
        <v>120</v>
      </c>
      <c r="K284" s="4">
        <v>130</v>
      </c>
      <c r="L284" s="4">
        <v>3</v>
      </c>
      <c r="M284" s="4" t="s">
        <v>25</v>
      </c>
      <c r="N284" s="28">
        <v>0.125750368103208</v>
      </c>
      <c r="O284" s="4" t="s">
        <v>47</v>
      </c>
      <c r="P284" s="4">
        <v>390</v>
      </c>
      <c r="Q284" s="4">
        <v>341</v>
      </c>
      <c r="R284" s="4">
        <v>61</v>
      </c>
    </row>
    <row r="285" spans="1:18">
      <c r="A285" s="4" t="s">
        <v>672</v>
      </c>
      <c r="B285" s="4" t="s">
        <v>664</v>
      </c>
      <c r="C285" s="4" t="s">
        <v>118</v>
      </c>
      <c r="D285" s="27">
        <v>45256</v>
      </c>
      <c r="E285" s="4" t="s">
        <v>20</v>
      </c>
      <c r="F285" s="4" t="s">
        <v>21</v>
      </c>
      <c r="G285" s="4" t="s">
        <v>673</v>
      </c>
      <c r="H285" s="4" t="s">
        <v>23</v>
      </c>
      <c r="I285" s="4">
        <v>9</v>
      </c>
      <c r="J285" s="4" t="s">
        <v>86</v>
      </c>
      <c r="K285" s="4">
        <v>60</v>
      </c>
      <c r="L285" s="4">
        <v>13</v>
      </c>
      <c r="M285" s="4" t="s">
        <v>33</v>
      </c>
      <c r="N285" s="28">
        <v>0.584437631114261</v>
      </c>
      <c r="O285" s="4" t="s">
        <v>68</v>
      </c>
      <c r="P285" s="4">
        <v>780</v>
      </c>
      <c r="Q285" s="4">
        <v>324</v>
      </c>
      <c r="R285" s="4">
        <v>27</v>
      </c>
    </row>
    <row r="286" spans="1:18">
      <c r="A286" s="4" t="s">
        <v>674</v>
      </c>
      <c r="B286" s="4" t="s">
        <v>666</v>
      </c>
      <c r="C286" s="4" t="s">
        <v>139</v>
      </c>
      <c r="D286" s="27">
        <v>45247</v>
      </c>
      <c r="E286" s="4" t="s">
        <v>29</v>
      </c>
      <c r="F286" s="4" t="s">
        <v>21</v>
      </c>
      <c r="G286" s="4" t="s">
        <v>675</v>
      </c>
      <c r="H286" s="4" t="s">
        <v>31</v>
      </c>
      <c r="I286" s="4">
        <v>10</v>
      </c>
      <c r="J286" s="4" t="s">
        <v>120</v>
      </c>
      <c r="K286" s="4">
        <v>72</v>
      </c>
      <c r="L286" s="4">
        <v>11</v>
      </c>
      <c r="M286" s="4" t="s">
        <v>25</v>
      </c>
      <c r="N286" s="28">
        <v>0.202698384273822</v>
      </c>
      <c r="O286" s="4" t="s">
        <v>26</v>
      </c>
      <c r="P286" s="4">
        <v>792</v>
      </c>
      <c r="Q286" s="4">
        <v>631</v>
      </c>
      <c r="R286" s="4">
        <v>39</v>
      </c>
    </row>
    <row r="287" spans="1:18">
      <c r="A287" s="4" t="s">
        <v>676</v>
      </c>
      <c r="B287" s="4" t="s">
        <v>668</v>
      </c>
      <c r="C287" s="4"/>
      <c r="D287" s="27">
        <v>45232</v>
      </c>
      <c r="E287" s="4" t="s">
        <v>37</v>
      </c>
      <c r="F287" s="4" t="s">
        <v>21</v>
      </c>
      <c r="G287" s="4" t="s">
        <v>677</v>
      </c>
      <c r="H287" s="4" t="s">
        <v>40</v>
      </c>
      <c r="I287" s="4">
        <v>1</v>
      </c>
      <c r="J287" s="4" t="s">
        <v>86</v>
      </c>
      <c r="K287" s="4">
        <v>65</v>
      </c>
      <c r="L287" s="4">
        <v>5</v>
      </c>
      <c r="M287" s="4" t="s">
        <v>33</v>
      </c>
      <c r="N287" s="28">
        <v>0.345884739679903</v>
      </c>
      <c r="O287" s="4" t="s">
        <v>34</v>
      </c>
      <c r="P287" s="4">
        <v>325</v>
      </c>
      <c r="Q287" s="4">
        <v>213</v>
      </c>
      <c r="R287" s="4">
        <v>18</v>
      </c>
    </row>
    <row r="288" spans="1:18">
      <c r="A288" s="4" t="s">
        <v>678</v>
      </c>
      <c r="B288" s="4" t="s">
        <v>670</v>
      </c>
      <c r="C288" s="4" t="s">
        <v>91</v>
      </c>
      <c r="D288" s="27">
        <v>45239</v>
      </c>
      <c r="E288" s="4" t="s">
        <v>20</v>
      </c>
      <c r="F288" s="4" t="s">
        <v>21</v>
      </c>
      <c r="G288" s="4" t="s">
        <v>679</v>
      </c>
      <c r="H288" s="4" t="s">
        <v>23</v>
      </c>
      <c r="I288" s="4">
        <v>1</v>
      </c>
      <c r="J288" s="4" t="s">
        <v>120</v>
      </c>
      <c r="K288" s="4">
        <v>250</v>
      </c>
      <c r="L288" s="4">
        <v>3</v>
      </c>
      <c r="M288" s="4" t="s">
        <v>25</v>
      </c>
      <c r="N288" s="28">
        <v>0.44863071332489</v>
      </c>
      <c r="O288" s="4" t="s">
        <v>42</v>
      </c>
      <c r="P288" s="4">
        <v>750</v>
      </c>
      <c r="Q288" s="4">
        <v>414</v>
      </c>
      <c r="R288" s="4">
        <v>75</v>
      </c>
    </row>
    <row r="289" spans="1:18">
      <c r="A289" s="4" t="s">
        <v>680</v>
      </c>
      <c r="B289" s="4" t="s">
        <v>672</v>
      </c>
      <c r="C289" s="4" t="s">
        <v>146</v>
      </c>
      <c r="D289" s="27">
        <v>45245</v>
      </c>
      <c r="E289" s="4" t="s">
        <v>29</v>
      </c>
      <c r="F289" s="4" t="s">
        <v>21</v>
      </c>
      <c r="G289" s="4" t="s">
        <v>681</v>
      </c>
      <c r="H289" s="4" t="s">
        <v>31</v>
      </c>
      <c r="I289" s="4">
        <v>10</v>
      </c>
      <c r="J289" s="4" t="s">
        <v>86</v>
      </c>
      <c r="K289" s="4">
        <v>130</v>
      </c>
      <c r="L289" s="4">
        <v>2</v>
      </c>
      <c r="M289" s="4" t="s">
        <v>33</v>
      </c>
      <c r="N289" s="28">
        <v>0.411956622818606</v>
      </c>
      <c r="O289" s="4" t="s">
        <v>47</v>
      </c>
      <c r="P289" s="4">
        <v>260</v>
      </c>
      <c r="Q289" s="4">
        <v>153</v>
      </c>
      <c r="R289" s="4">
        <v>64</v>
      </c>
    </row>
    <row r="290" spans="1:18">
      <c r="A290" s="4" t="s">
        <v>682</v>
      </c>
      <c r="B290" s="4" t="s">
        <v>674</v>
      </c>
      <c r="C290" s="4" t="s">
        <v>149</v>
      </c>
      <c r="D290" s="27">
        <v>45246</v>
      </c>
      <c r="E290" s="4" t="s">
        <v>29</v>
      </c>
      <c r="F290" s="4" t="s">
        <v>38</v>
      </c>
      <c r="G290" s="4" t="s">
        <v>683</v>
      </c>
      <c r="H290" s="4" t="s">
        <v>40</v>
      </c>
      <c r="I290" s="4">
        <v>4</v>
      </c>
      <c r="J290" s="4" t="s">
        <v>120</v>
      </c>
      <c r="K290" s="4">
        <v>72</v>
      </c>
      <c r="L290" s="4">
        <v>10</v>
      </c>
      <c r="M290" s="4" t="s">
        <v>25</v>
      </c>
      <c r="N290" s="28">
        <v>0.786119782865679</v>
      </c>
      <c r="O290" s="4" t="s">
        <v>26</v>
      </c>
      <c r="P290" s="4">
        <v>720</v>
      </c>
      <c r="Q290" s="4">
        <v>154</v>
      </c>
      <c r="R290" s="4">
        <v>35</v>
      </c>
    </row>
    <row r="291" spans="1:18">
      <c r="A291" s="4" t="s">
        <v>684</v>
      </c>
      <c r="B291" s="4" t="s">
        <v>676</v>
      </c>
      <c r="C291" s="4" t="s">
        <v>171</v>
      </c>
      <c r="D291" s="27">
        <v>45253</v>
      </c>
      <c r="E291" s="4" t="s">
        <v>20</v>
      </c>
      <c r="F291" s="4" t="s">
        <v>21</v>
      </c>
      <c r="G291" s="4" t="s">
        <v>685</v>
      </c>
      <c r="H291" s="4" t="s">
        <v>23</v>
      </c>
      <c r="I291" s="4">
        <v>7</v>
      </c>
      <c r="J291" s="4" t="s">
        <v>86</v>
      </c>
      <c r="K291" s="4">
        <v>65</v>
      </c>
      <c r="L291" s="4">
        <v>12</v>
      </c>
      <c r="M291" s="4" t="s">
        <v>33</v>
      </c>
      <c r="N291" s="28">
        <v>0.820935261125152</v>
      </c>
      <c r="O291" s="4" t="s">
        <v>34</v>
      </c>
      <c r="P291" s="4">
        <v>780</v>
      </c>
      <c r="Q291" s="4">
        <v>140</v>
      </c>
      <c r="R291" s="4">
        <v>26</v>
      </c>
    </row>
    <row r="292" spans="1:18">
      <c r="A292" s="4" t="s">
        <v>686</v>
      </c>
      <c r="B292" s="4" t="s">
        <v>678</v>
      </c>
      <c r="C292" s="4" t="s">
        <v>73</v>
      </c>
      <c r="D292" s="27">
        <v>45250</v>
      </c>
      <c r="E292" s="4" t="s">
        <v>29</v>
      </c>
      <c r="F292" s="4" t="s">
        <v>21</v>
      </c>
      <c r="G292" s="4" t="s">
        <v>687</v>
      </c>
      <c r="H292" s="4" t="s">
        <v>31</v>
      </c>
      <c r="I292" s="4">
        <v>3</v>
      </c>
      <c r="J292" s="4" t="s">
        <v>24</v>
      </c>
      <c r="K292" s="4">
        <v>250</v>
      </c>
      <c r="L292" s="4">
        <v>3</v>
      </c>
      <c r="M292" s="4" t="s">
        <v>25</v>
      </c>
      <c r="N292" s="28">
        <v>0.565505584961436</v>
      </c>
      <c r="O292" s="4" t="s">
        <v>42</v>
      </c>
      <c r="P292" s="4">
        <v>750</v>
      </c>
      <c r="Q292" s="4">
        <v>326</v>
      </c>
      <c r="R292" s="4">
        <v>143</v>
      </c>
    </row>
    <row r="293" spans="1:18">
      <c r="A293" s="4" t="s">
        <v>688</v>
      </c>
      <c r="B293" s="4" t="s">
        <v>680</v>
      </c>
      <c r="C293" s="4" t="s">
        <v>176</v>
      </c>
      <c r="D293" s="27">
        <v>45245</v>
      </c>
      <c r="E293" s="4" t="s">
        <v>37</v>
      </c>
      <c r="F293" s="4" t="s">
        <v>21</v>
      </c>
      <c r="G293" s="4" t="s">
        <v>689</v>
      </c>
      <c r="H293" s="4" t="s">
        <v>40</v>
      </c>
      <c r="I293" s="4">
        <v>6</v>
      </c>
      <c r="J293" s="4" t="s">
        <v>32</v>
      </c>
      <c r="K293" s="4">
        <v>130</v>
      </c>
      <c r="L293" s="4">
        <v>4</v>
      </c>
      <c r="M293" s="4" t="s">
        <v>33</v>
      </c>
      <c r="N293" s="28">
        <v>0.480015994130276</v>
      </c>
      <c r="O293" s="4" t="s">
        <v>47</v>
      </c>
      <c r="P293" s="4">
        <v>520</v>
      </c>
      <c r="Q293" s="4">
        <v>270</v>
      </c>
      <c r="R293" s="4">
        <v>40</v>
      </c>
    </row>
    <row r="294" spans="1:18">
      <c r="A294" s="4" t="s">
        <v>690</v>
      </c>
      <c r="B294" s="4" t="s">
        <v>682</v>
      </c>
      <c r="C294" s="4" t="s">
        <v>179</v>
      </c>
      <c r="D294" s="27">
        <v>45241</v>
      </c>
      <c r="E294" s="4" t="s">
        <v>20</v>
      </c>
      <c r="F294" s="4" t="s">
        <v>21</v>
      </c>
      <c r="G294" s="4" t="s">
        <v>691</v>
      </c>
      <c r="H294" s="4" t="s">
        <v>23</v>
      </c>
      <c r="I294" s="4">
        <v>6</v>
      </c>
      <c r="J294" s="4" t="s">
        <v>86</v>
      </c>
      <c r="K294" s="4">
        <v>60</v>
      </c>
      <c r="L294" s="4">
        <v>9</v>
      </c>
      <c r="M294" s="4" t="s">
        <v>25</v>
      </c>
      <c r="N294" s="28">
        <v>0.807035443056815</v>
      </c>
      <c r="O294" s="4" t="s">
        <v>68</v>
      </c>
      <c r="P294" s="4">
        <v>540</v>
      </c>
      <c r="Q294" s="4">
        <v>104</v>
      </c>
      <c r="R294" s="4">
        <v>31</v>
      </c>
    </row>
    <row r="295" spans="1:18">
      <c r="A295" s="4" t="s">
        <v>692</v>
      </c>
      <c r="B295" s="4" t="s">
        <v>684</v>
      </c>
      <c r="C295" s="4" t="s">
        <v>182</v>
      </c>
      <c r="D295" s="27">
        <v>45255</v>
      </c>
      <c r="E295" s="4" t="s">
        <v>29</v>
      </c>
      <c r="F295" s="4" t="s">
        <v>21</v>
      </c>
      <c r="G295" s="4" t="s">
        <v>693</v>
      </c>
      <c r="H295" s="4" t="s">
        <v>31</v>
      </c>
      <c r="I295" s="4">
        <v>5</v>
      </c>
      <c r="J295" s="4" t="s">
        <v>89</v>
      </c>
      <c r="K295" s="4">
        <v>95</v>
      </c>
      <c r="L295" s="4">
        <v>6</v>
      </c>
      <c r="M295" s="4" t="s">
        <v>33</v>
      </c>
      <c r="N295" s="28">
        <v>0.13472953271651</v>
      </c>
      <c r="O295" s="4" t="s">
        <v>104</v>
      </c>
      <c r="P295" s="4">
        <v>570</v>
      </c>
      <c r="Q295" s="4">
        <v>493</v>
      </c>
      <c r="R295" s="4">
        <v>50</v>
      </c>
    </row>
    <row r="296" spans="1:18">
      <c r="A296" s="4" t="s">
        <v>694</v>
      </c>
      <c r="B296" s="4" t="s">
        <v>686</v>
      </c>
      <c r="C296" s="4" t="s">
        <v>185</v>
      </c>
      <c r="D296" s="27">
        <v>45255</v>
      </c>
      <c r="E296" s="4" t="s">
        <v>37</v>
      </c>
      <c r="F296" s="4" t="s">
        <v>38</v>
      </c>
      <c r="G296" s="4" t="s">
        <v>695</v>
      </c>
      <c r="H296" s="4" t="s">
        <v>40</v>
      </c>
      <c r="I296" s="4">
        <v>1</v>
      </c>
      <c r="J296" s="4" t="s">
        <v>93</v>
      </c>
      <c r="K296" s="4">
        <v>72</v>
      </c>
      <c r="L296" s="4">
        <v>9</v>
      </c>
      <c r="M296" s="4" t="s">
        <v>25</v>
      </c>
      <c r="N296" s="28">
        <v>0.537352445140222</v>
      </c>
      <c r="O296" s="4" t="s">
        <v>26</v>
      </c>
      <c r="P296" s="4">
        <v>648</v>
      </c>
      <c r="Q296" s="4">
        <v>300</v>
      </c>
      <c r="R296" s="4">
        <v>22</v>
      </c>
    </row>
    <row r="297" spans="1:18">
      <c r="A297" s="4" t="s">
        <v>696</v>
      </c>
      <c r="B297" s="4" t="s">
        <v>688</v>
      </c>
      <c r="C297" s="4" t="s">
        <v>188</v>
      </c>
      <c r="D297" s="27">
        <v>45231</v>
      </c>
      <c r="E297" s="4" t="s">
        <v>20</v>
      </c>
      <c r="F297" s="4" t="s">
        <v>21</v>
      </c>
      <c r="G297" s="4" t="s">
        <v>697</v>
      </c>
      <c r="H297" s="4" t="s">
        <v>23</v>
      </c>
      <c r="I297" s="4">
        <v>9</v>
      </c>
      <c r="J297" s="4" t="s">
        <v>96</v>
      </c>
      <c r="K297" s="4">
        <v>65</v>
      </c>
      <c r="L297" s="4">
        <v>10</v>
      </c>
      <c r="M297" s="4" t="s">
        <v>33</v>
      </c>
      <c r="N297" s="28">
        <v>0.864932537230203</v>
      </c>
      <c r="O297" s="4" t="s">
        <v>34</v>
      </c>
      <c r="P297" s="4">
        <v>650</v>
      </c>
      <c r="Q297" s="4">
        <v>88</v>
      </c>
      <c r="R297" s="4">
        <v>26</v>
      </c>
    </row>
    <row r="298" spans="1:18">
      <c r="A298" s="4" t="s">
        <v>698</v>
      </c>
      <c r="B298" s="4" t="s">
        <v>690</v>
      </c>
      <c r="C298" s="4" t="s">
        <v>191</v>
      </c>
      <c r="D298" s="27">
        <v>45240</v>
      </c>
      <c r="E298" s="4" t="s">
        <v>29</v>
      </c>
      <c r="F298" s="4" t="s">
        <v>21</v>
      </c>
      <c r="G298" s="4" t="s">
        <v>699</v>
      </c>
      <c r="H298" s="4" t="s">
        <v>31</v>
      </c>
      <c r="I298" s="4">
        <v>3</v>
      </c>
      <c r="J298" s="4" t="s">
        <v>58</v>
      </c>
      <c r="K298" s="4">
        <v>250</v>
      </c>
      <c r="L298" s="4">
        <v>2</v>
      </c>
      <c r="M298" s="4" t="s">
        <v>25</v>
      </c>
      <c r="N298" s="28">
        <v>0.146351932523674</v>
      </c>
      <c r="O298" s="4" t="s">
        <v>42</v>
      </c>
      <c r="P298" s="4">
        <v>500</v>
      </c>
      <c r="Q298" s="4">
        <v>427</v>
      </c>
      <c r="R298" s="4">
        <v>100</v>
      </c>
    </row>
    <row r="299" spans="1:18">
      <c r="A299" s="4" t="s">
        <v>700</v>
      </c>
      <c r="B299" s="4" t="s">
        <v>692</v>
      </c>
      <c r="C299" s="4" t="s">
        <v>194</v>
      </c>
      <c r="D299" s="27">
        <v>45245</v>
      </c>
      <c r="E299" s="4" t="s">
        <v>29</v>
      </c>
      <c r="F299" s="4" t="s">
        <v>21</v>
      </c>
      <c r="G299" s="4" t="s">
        <v>701</v>
      </c>
      <c r="H299" s="4" t="s">
        <v>40</v>
      </c>
      <c r="I299" s="4">
        <v>4</v>
      </c>
      <c r="J299" s="4" t="s">
        <v>63</v>
      </c>
      <c r="K299" s="4">
        <v>130</v>
      </c>
      <c r="L299" s="4">
        <v>5</v>
      </c>
      <c r="M299" s="4" t="s">
        <v>33</v>
      </c>
      <c r="N299" s="28">
        <v>0.499302165935024</v>
      </c>
      <c r="O299" s="4" t="s">
        <v>47</v>
      </c>
      <c r="P299" s="4">
        <v>650</v>
      </c>
      <c r="Q299" s="4">
        <v>325</v>
      </c>
      <c r="R299" s="4">
        <v>33</v>
      </c>
    </row>
    <row r="300" spans="1:18">
      <c r="A300" s="4" t="s">
        <v>702</v>
      </c>
      <c r="B300" s="4" t="s">
        <v>694</v>
      </c>
      <c r="C300" s="4" t="s">
        <v>197</v>
      </c>
      <c r="D300" s="27">
        <v>45245</v>
      </c>
      <c r="E300" s="4" t="s">
        <v>20</v>
      </c>
      <c r="F300" s="4" t="s">
        <v>21</v>
      </c>
      <c r="G300" s="4" t="s">
        <v>703</v>
      </c>
      <c r="H300" s="4" t="s">
        <v>23</v>
      </c>
      <c r="I300" s="4">
        <v>8</v>
      </c>
      <c r="J300" s="4" t="s">
        <v>67</v>
      </c>
      <c r="K300" s="4">
        <v>72</v>
      </c>
      <c r="L300" s="4">
        <v>4</v>
      </c>
      <c r="M300" s="4" t="s">
        <v>25</v>
      </c>
      <c r="N300" s="28">
        <v>0.167603692170588</v>
      </c>
      <c r="O300" s="4" t="s">
        <v>26</v>
      </c>
      <c r="P300" s="4">
        <v>288</v>
      </c>
      <c r="Q300" s="4">
        <v>240</v>
      </c>
      <c r="R300" s="4">
        <v>21</v>
      </c>
    </row>
    <row r="301" spans="1:18">
      <c r="A301" s="4" t="s">
        <v>704</v>
      </c>
      <c r="B301" s="4" t="s">
        <v>696</v>
      </c>
      <c r="C301" s="4" t="s">
        <v>200</v>
      </c>
      <c r="D301" s="27">
        <v>45253</v>
      </c>
      <c r="E301" s="4" t="s">
        <v>29</v>
      </c>
      <c r="F301" s="4" t="s">
        <v>21</v>
      </c>
      <c r="G301" s="4" t="s">
        <v>705</v>
      </c>
      <c r="H301" s="4" t="s">
        <v>23</v>
      </c>
      <c r="I301" s="4">
        <v>6</v>
      </c>
      <c r="J301" s="4" t="s">
        <v>103</v>
      </c>
      <c r="K301" s="4">
        <v>65</v>
      </c>
      <c r="L301" s="4">
        <v>13</v>
      </c>
      <c r="M301" s="4" t="s">
        <v>33</v>
      </c>
      <c r="N301" s="28">
        <v>0.570403916399243</v>
      </c>
      <c r="O301" s="4" t="s">
        <v>34</v>
      </c>
      <c r="P301" s="4">
        <v>845</v>
      </c>
      <c r="Q301" s="4">
        <v>363</v>
      </c>
      <c r="R301" s="4">
        <v>26</v>
      </c>
    </row>
    <row r="302" spans="1:18">
      <c r="A302" s="4" t="s">
        <v>706</v>
      </c>
      <c r="B302" s="4" t="s">
        <v>698</v>
      </c>
      <c r="C302" s="4" t="s">
        <v>203</v>
      </c>
      <c r="D302" s="27">
        <v>45234</v>
      </c>
      <c r="E302" s="4" t="s">
        <v>20</v>
      </c>
      <c r="F302" s="4" t="s">
        <v>21</v>
      </c>
      <c r="G302" s="4" t="s">
        <v>707</v>
      </c>
      <c r="H302" s="4" t="s">
        <v>23</v>
      </c>
      <c r="I302" s="4">
        <v>9</v>
      </c>
      <c r="J302" s="4" t="s">
        <v>108</v>
      </c>
      <c r="K302" s="4">
        <v>250</v>
      </c>
      <c r="L302" s="4">
        <v>2</v>
      </c>
      <c r="M302" s="4" t="s">
        <v>33</v>
      </c>
      <c r="N302" s="28">
        <v>0.352404728936826</v>
      </c>
      <c r="O302" s="4" t="s">
        <v>42</v>
      </c>
      <c r="P302" s="4">
        <v>500</v>
      </c>
      <c r="Q302" s="4">
        <v>324</v>
      </c>
      <c r="R302" s="4">
        <v>153</v>
      </c>
    </row>
    <row r="303" spans="1:18">
      <c r="A303" s="4" t="s">
        <v>708</v>
      </c>
      <c r="B303" s="4" t="s">
        <v>700</v>
      </c>
      <c r="C303" s="4" t="s">
        <v>28</v>
      </c>
      <c r="D303" s="27">
        <v>45235</v>
      </c>
      <c r="E303" s="4" t="s">
        <v>29</v>
      </c>
      <c r="F303" s="4" t="s">
        <v>21</v>
      </c>
      <c r="G303" s="4" t="s">
        <v>709</v>
      </c>
      <c r="H303" s="4" t="s">
        <v>31</v>
      </c>
      <c r="I303" s="4">
        <v>7</v>
      </c>
      <c r="J303" s="4" t="s">
        <v>112</v>
      </c>
      <c r="K303" s="4">
        <v>130</v>
      </c>
      <c r="L303" s="4">
        <v>3</v>
      </c>
      <c r="M303" s="4" t="s">
        <v>33</v>
      </c>
      <c r="N303" s="28">
        <v>0.112080921562423</v>
      </c>
      <c r="O303" s="4" t="s">
        <v>47</v>
      </c>
      <c r="P303" s="4">
        <v>390</v>
      </c>
      <c r="Q303" s="4">
        <v>346</v>
      </c>
      <c r="R303" s="4">
        <v>75</v>
      </c>
    </row>
    <row r="304" spans="1:18">
      <c r="A304" s="4" t="s">
        <v>710</v>
      </c>
      <c r="B304" s="4" t="s">
        <v>702</v>
      </c>
      <c r="C304" s="4" t="s">
        <v>36</v>
      </c>
      <c r="D304" s="27">
        <v>45242</v>
      </c>
      <c r="E304" s="4" t="s">
        <v>37</v>
      </c>
      <c r="F304" s="4" t="s">
        <v>38</v>
      </c>
      <c r="G304" s="4" t="s">
        <v>711</v>
      </c>
      <c r="H304" s="4" t="s">
        <v>40</v>
      </c>
      <c r="I304" s="4">
        <v>8</v>
      </c>
      <c r="J304" s="4" t="s">
        <v>116</v>
      </c>
      <c r="K304" s="4">
        <v>60</v>
      </c>
      <c r="L304" s="4">
        <v>10</v>
      </c>
      <c r="M304" s="4" t="s">
        <v>33</v>
      </c>
      <c r="N304" s="28">
        <v>0.578391346471001</v>
      </c>
      <c r="O304" s="4" t="s">
        <v>68</v>
      </c>
      <c r="P304" s="4">
        <v>600</v>
      </c>
      <c r="Q304" s="4">
        <v>253</v>
      </c>
      <c r="R304" s="4">
        <v>15</v>
      </c>
    </row>
    <row r="305" spans="1:18">
      <c r="A305" s="4" t="s">
        <v>712</v>
      </c>
      <c r="B305" s="4" t="s">
        <v>704</v>
      </c>
      <c r="C305" s="4" t="s">
        <v>44</v>
      </c>
      <c r="D305" s="27">
        <v>45248</v>
      </c>
      <c r="E305" s="4" t="s">
        <v>20</v>
      </c>
      <c r="F305" s="4" t="s">
        <v>21</v>
      </c>
      <c r="G305" s="4" t="s">
        <v>713</v>
      </c>
      <c r="H305" s="4" t="s">
        <v>23</v>
      </c>
      <c r="I305" s="4">
        <v>6</v>
      </c>
      <c r="J305" s="4" t="s">
        <v>120</v>
      </c>
      <c r="K305" s="4">
        <v>72</v>
      </c>
      <c r="L305" s="4">
        <v>9</v>
      </c>
      <c r="M305" s="4" t="s">
        <v>33</v>
      </c>
      <c r="N305" s="28">
        <v>0.187855673067526</v>
      </c>
      <c r="O305" s="4" t="s">
        <v>26</v>
      </c>
      <c r="P305" s="4">
        <v>648</v>
      </c>
      <c r="Q305" s="4">
        <v>526</v>
      </c>
      <c r="R305" s="4">
        <v>40</v>
      </c>
    </row>
    <row r="306" spans="1:18">
      <c r="A306" s="4" t="s">
        <v>714</v>
      </c>
      <c r="B306" s="4" t="s">
        <v>706</v>
      </c>
      <c r="C306" s="4" t="s">
        <v>49</v>
      </c>
      <c r="D306" s="27">
        <v>45258</v>
      </c>
      <c r="E306" s="4" t="s">
        <v>29</v>
      </c>
      <c r="F306" s="4" t="s">
        <v>21</v>
      </c>
      <c r="G306" s="4" t="s">
        <v>715</v>
      </c>
      <c r="H306" s="4" t="s">
        <v>31</v>
      </c>
      <c r="I306" s="4">
        <v>2</v>
      </c>
      <c r="J306" s="4" t="s">
        <v>24</v>
      </c>
      <c r="K306" s="4">
        <v>65</v>
      </c>
      <c r="L306" s="4">
        <v>8</v>
      </c>
      <c r="M306" s="4" t="s">
        <v>25</v>
      </c>
      <c r="N306" s="28">
        <v>0.692347869064799</v>
      </c>
      <c r="O306" s="4" t="s">
        <v>34</v>
      </c>
      <c r="P306" s="4">
        <v>520</v>
      </c>
      <c r="Q306" s="4">
        <v>160</v>
      </c>
      <c r="R306" s="4">
        <v>29</v>
      </c>
    </row>
    <row r="307" spans="1:18">
      <c r="A307" s="4" t="s">
        <v>716</v>
      </c>
      <c r="B307" s="4" t="s">
        <v>708</v>
      </c>
      <c r="C307" s="4" t="s">
        <v>53</v>
      </c>
      <c r="D307" s="27">
        <v>45242</v>
      </c>
      <c r="E307" s="4" t="s">
        <v>29</v>
      </c>
      <c r="F307" s="4" t="s">
        <v>21</v>
      </c>
      <c r="G307" s="4" t="s">
        <v>717</v>
      </c>
      <c r="H307" s="4" t="s">
        <v>40</v>
      </c>
      <c r="I307" s="4">
        <v>4</v>
      </c>
      <c r="J307" s="4" t="s">
        <v>32</v>
      </c>
      <c r="K307" s="4">
        <v>250</v>
      </c>
      <c r="L307" s="4">
        <v>3</v>
      </c>
      <c r="M307" s="4" t="s">
        <v>33</v>
      </c>
      <c r="N307" s="28">
        <v>0.731310547163767</v>
      </c>
      <c r="O307" s="4" t="s">
        <v>42</v>
      </c>
      <c r="P307" s="4">
        <v>750</v>
      </c>
      <c r="Q307" s="4">
        <v>202</v>
      </c>
      <c r="R307" s="4">
        <v>118</v>
      </c>
    </row>
    <row r="308" spans="1:18">
      <c r="A308" s="4" t="s">
        <v>718</v>
      </c>
      <c r="B308" s="4" t="s">
        <v>710</v>
      </c>
      <c r="C308" s="4" t="s">
        <v>61</v>
      </c>
      <c r="D308" s="27">
        <v>45260</v>
      </c>
      <c r="E308" s="4" t="s">
        <v>20</v>
      </c>
      <c r="F308" s="4" t="s">
        <v>21</v>
      </c>
      <c r="G308" s="4" t="s">
        <v>719</v>
      </c>
      <c r="H308" s="4" t="s">
        <v>23</v>
      </c>
      <c r="I308" s="4">
        <v>1</v>
      </c>
      <c r="J308" s="4" t="s">
        <v>86</v>
      </c>
      <c r="K308" s="4">
        <v>130</v>
      </c>
      <c r="L308" s="4">
        <v>3</v>
      </c>
      <c r="M308" s="4" t="s">
        <v>25</v>
      </c>
      <c r="N308" s="28">
        <v>0.396512949532452</v>
      </c>
      <c r="O308" s="4" t="s">
        <v>47</v>
      </c>
      <c r="P308" s="4">
        <v>390</v>
      </c>
      <c r="Q308" s="4">
        <v>235</v>
      </c>
      <c r="R308" s="4">
        <v>51</v>
      </c>
    </row>
    <row r="309" spans="1:18">
      <c r="A309" s="4" t="s">
        <v>720</v>
      </c>
      <c r="B309" s="4" t="s">
        <v>712</v>
      </c>
      <c r="C309" s="4" t="s">
        <v>61</v>
      </c>
      <c r="D309" s="27">
        <v>45240</v>
      </c>
      <c r="E309" s="4" t="s">
        <v>29</v>
      </c>
      <c r="F309" s="4" t="s">
        <v>21</v>
      </c>
      <c r="G309" s="4" t="s">
        <v>721</v>
      </c>
      <c r="H309" s="4" t="s">
        <v>31</v>
      </c>
      <c r="I309" s="4">
        <v>9</v>
      </c>
      <c r="J309" s="4" t="s">
        <v>89</v>
      </c>
      <c r="K309" s="4">
        <v>72</v>
      </c>
      <c r="L309" s="4">
        <v>5</v>
      </c>
      <c r="M309" s="4" t="s">
        <v>33</v>
      </c>
      <c r="N309" s="28">
        <v>0.470532939561851</v>
      </c>
      <c r="O309" s="4" t="s">
        <v>26</v>
      </c>
      <c r="P309" s="4">
        <v>360</v>
      </c>
      <c r="Q309" s="4">
        <v>191</v>
      </c>
      <c r="R309" s="4">
        <v>37</v>
      </c>
    </row>
    <row r="310" spans="1:18">
      <c r="A310" s="4" t="s">
        <v>722</v>
      </c>
      <c r="B310" s="4" t="s">
        <v>714</v>
      </c>
      <c r="C310" s="4" t="s">
        <v>65</v>
      </c>
      <c r="D310" s="27">
        <v>45252</v>
      </c>
      <c r="E310" s="4" t="s">
        <v>20</v>
      </c>
      <c r="F310" s="4" t="s">
        <v>38</v>
      </c>
      <c r="G310" s="4" t="s">
        <v>723</v>
      </c>
      <c r="H310" s="4" t="s">
        <v>40</v>
      </c>
      <c r="I310" s="4">
        <v>6</v>
      </c>
      <c r="J310" s="4" t="s">
        <v>93</v>
      </c>
      <c r="K310" s="4">
        <v>65</v>
      </c>
      <c r="L310" s="4">
        <v>9</v>
      </c>
      <c r="M310" s="4" t="s">
        <v>25</v>
      </c>
      <c r="N310" s="28">
        <v>0.902242484583642</v>
      </c>
      <c r="O310" s="4" t="s">
        <v>34</v>
      </c>
      <c r="P310" s="4">
        <v>585</v>
      </c>
      <c r="Q310" s="4">
        <v>57</v>
      </c>
      <c r="R310" s="4">
        <v>21</v>
      </c>
    </row>
    <row r="311" spans="1:18">
      <c r="A311" s="4" t="s">
        <v>724</v>
      </c>
      <c r="B311" s="4" t="s">
        <v>716</v>
      </c>
      <c r="C311" s="4" t="s">
        <v>222</v>
      </c>
      <c r="D311" s="27">
        <v>45260</v>
      </c>
      <c r="E311" s="4" t="s">
        <v>29</v>
      </c>
      <c r="F311" s="4" t="s">
        <v>21</v>
      </c>
      <c r="G311" s="4" t="s">
        <v>725</v>
      </c>
      <c r="H311" s="4" t="s">
        <v>23</v>
      </c>
      <c r="I311" s="4">
        <v>9</v>
      </c>
      <c r="J311" s="4" t="s">
        <v>96</v>
      </c>
      <c r="K311" s="4">
        <v>250</v>
      </c>
      <c r="L311" s="4">
        <v>1</v>
      </c>
      <c r="M311" s="4" t="s">
        <v>33</v>
      </c>
      <c r="N311" s="28">
        <v>0.250579688847384</v>
      </c>
      <c r="O311" s="4" t="s">
        <v>42</v>
      </c>
      <c r="P311" s="4">
        <v>250</v>
      </c>
      <c r="Q311" s="4">
        <v>187</v>
      </c>
      <c r="R311" s="4">
        <v>118</v>
      </c>
    </row>
    <row r="312" spans="1:18">
      <c r="A312" s="4" t="s">
        <v>726</v>
      </c>
      <c r="B312" s="4" t="s">
        <v>718</v>
      </c>
      <c r="C312" s="4" t="s">
        <v>73</v>
      </c>
      <c r="D312" s="27">
        <v>45250</v>
      </c>
      <c r="E312" s="4" t="s">
        <v>29</v>
      </c>
      <c r="F312" s="4" t="s">
        <v>21</v>
      </c>
      <c r="G312" s="4" t="s">
        <v>727</v>
      </c>
      <c r="H312" s="4" t="s">
        <v>31</v>
      </c>
      <c r="I312" s="4">
        <v>9</v>
      </c>
      <c r="J312" s="4" t="s">
        <v>58</v>
      </c>
      <c r="K312" s="4">
        <v>130</v>
      </c>
      <c r="L312" s="4">
        <v>4</v>
      </c>
      <c r="M312" s="4" t="s">
        <v>25</v>
      </c>
      <c r="N312" s="28">
        <v>0.568922669196791</v>
      </c>
      <c r="O312" s="4" t="s">
        <v>47</v>
      </c>
      <c r="P312" s="4">
        <v>520</v>
      </c>
      <c r="Q312" s="4">
        <v>224</v>
      </c>
      <c r="R312" s="4">
        <v>47</v>
      </c>
    </row>
    <row r="313" spans="1:18">
      <c r="A313" s="4" t="s">
        <v>728</v>
      </c>
      <c r="B313" s="4" t="s">
        <v>720</v>
      </c>
      <c r="C313" s="4" t="s">
        <v>77</v>
      </c>
      <c r="D313" s="27">
        <v>45251</v>
      </c>
      <c r="E313" s="4" t="s">
        <v>20</v>
      </c>
      <c r="F313" s="4" t="s">
        <v>21</v>
      </c>
      <c r="G313" s="4" t="s">
        <v>729</v>
      </c>
      <c r="H313" s="4" t="s">
        <v>40</v>
      </c>
      <c r="I313" s="4">
        <v>3</v>
      </c>
      <c r="J313" s="4" t="s">
        <v>63</v>
      </c>
      <c r="K313" s="4">
        <v>60</v>
      </c>
      <c r="L313" s="4">
        <v>6</v>
      </c>
      <c r="M313" s="4" t="s">
        <v>33</v>
      </c>
      <c r="N313" s="28">
        <v>0.0335710613741672</v>
      </c>
      <c r="O313" s="4" t="s">
        <v>68</v>
      </c>
      <c r="P313" s="4">
        <v>360</v>
      </c>
      <c r="Q313" s="4">
        <v>348</v>
      </c>
      <c r="R313" s="4">
        <v>27</v>
      </c>
    </row>
    <row r="314" spans="1:18">
      <c r="A314" s="4" t="s">
        <v>730</v>
      </c>
      <c r="B314" s="4" t="s">
        <v>722</v>
      </c>
      <c r="C314" s="4" t="s">
        <v>229</v>
      </c>
      <c r="D314" s="27">
        <v>45235</v>
      </c>
      <c r="E314" s="4" t="s">
        <v>29</v>
      </c>
      <c r="F314" s="4" t="s">
        <v>21</v>
      </c>
      <c r="G314" s="4" t="s">
        <v>731</v>
      </c>
      <c r="H314" s="4" t="s">
        <v>23</v>
      </c>
      <c r="I314" s="4">
        <v>2</v>
      </c>
      <c r="J314" s="4" t="s">
        <v>67</v>
      </c>
      <c r="K314" s="4">
        <v>95</v>
      </c>
      <c r="L314" s="4">
        <v>4</v>
      </c>
      <c r="M314" s="4" t="s">
        <v>25</v>
      </c>
      <c r="N314" s="28">
        <v>0.117970393249644</v>
      </c>
      <c r="O314" s="4" t="s">
        <v>104</v>
      </c>
      <c r="P314" s="4">
        <v>380</v>
      </c>
      <c r="Q314" s="4">
        <v>335</v>
      </c>
      <c r="R314" s="4">
        <v>55</v>
      </c>
    </row>
    <row r="315" spans="1:18">
      <c r="A315" s="4" t="s">
        <v>732</v>
      </c>
      <c r="B315" s="4" t="s">
        <v>724</v>
      </c>
      <c r="C315" s="4" t="s">
        <v>84</v>
      </c>
      <c r="D315" s="27">
        <v>45253</v>
      </c>
      <c r="E315" s="4" t="s">
        <v>29</v>
      </c>
      <c r="F315" s="4" t="s">
        <v>21</v>
      </c>
      <c r="G315" s="4" t="s">
        <v>733</v>
      </c>
      <c r="H315" s="4" t="s">
        <v>31</v>
      </c>
      <c r="I315" s="4">
        <v>3</v>
      </c>
      <c r="J315" s="4" t="s">
        <v>103</v>
      </c>
      <c r="K315" s="4">
        <v>72</v>
      </c>
      <c r="L315" s="4">
        <v>8</v>
      </c>
      <c r="M315" s="4" t="s">
        <v>33</v>
      </c>
      <c r="N315" s="28">
        <v>0.0281763859647487</v>
      </c>
      <c r="O315" s="4" t="s">
        <v>26</v>
      </c>
      <c r="P315" s="4">
        <v>576</v>
      </c>
      <c r="Q315" s="4">
        <v>560</v>
      </c>
      <c r="R315" s="4">
        <v>19</v>
      </c>
    </row>
    <row r="316" spans="1:18">
      <c r="A316" s="4" t="s">
        <v>734</v>
      </c>
      <c r="B316" s="4" t="s">
        <v>726</v>
      </c>
      <c r="C316" s="4" t="s">
        <v>200</v>
      </c>
      <c r="D316" s="27">
        <v>45259</v>
      </c>
      <c r="E316" s="4" t="s">
        <v>20</v>
      </c>
      <c r="F316" s="4" t="s">
        <v>38</v>
      </c>
      <c r="G316" s="4" t="s">
        <v>735</v>
      </c>
      <c r="H316" s="4" t="s">
        <v>40</v>
      </c>
      <c r="I316" s="4">
        <v>10</v>
      </c>
      <c r="J316" s="4" t="s">
        <v>108</v>
      </c>
      <c r="K316" s="4">
        <v>65</v>
      </c>
      <c r="L316" s="4">
        <v>8</v>
      </c>
      <c r="M316" s="4" t="s">
        <v>25</v>
      </c>
      <c r="N316" s="28">
        <v>0.669411367257589</v>
      </c>
      <c r="O316" s="4" t="s">
        <v>34</v>
      </c>
      <c r="P316" s="4">
        <v>520</v>
      </c>
      <c r="Q316" s="4">
        <v>172</v>
      </c>
      <c r="R316" s="4">
        <v>33</v>
      </c>
    </row>
    <row r="317" spans="1:18">
      <c r="A317" s="4" t="s">
        <v>736</v>
      </c>
      <c r="B317" s="4" t="s">
        <v>728</v>
      </c>
      <c r="C317" s="4" t="s">
        <v>203</v>
      </c>
      <c r="D317" s="27">
        <v>45246</v>
      </c>
      <c r="E317" s="4" t="s">
        <v>29</v>
      </c>
      <c r="F317" s="4" t="s">
        <v>21</v>
      </c>
      <c r="G317" s="4" t="s">
        <v>737</v>
      </c>
      <c r="H317" s="4" t="s">
        <v>23</v>
      </c>
      <c r="I317" s="4">
        <v>3</v>
      </c>
      <c r="J317" s="4" t="s">
        <v>112</v>
      </c>
      <c r="K317" s="4">
        <v>250</v>
      </c>
      <c r="L317" s="4">
        <v>2</v>
      </c>
      <c r="M317" s="4" t="s">
        <v>33</v>
      </c>
      <c r="N317" s="28">
        <v>0.364481724955418</v>
      </c>
      <c r="O317" s="4" t="s">
        <v>42</v>
      </c>
      <c r="P317" s="4">
        <v>500</v>
      </c>
      <c r="Q317" s="4">
        <v>318</v>
      </c>
      <c r="R317" s="4">
        <v>158</v>
      </c>
    </row>
    <row r="318" spans="1:18">
      <c r="A318" s="4" t="s">
        <v>738</v>
      </c>
      <c r="B318" s="4" t="s">
        <v>730</v>
      </c>
      <c r="C318" s="4" t="s">
        <v>28</v>
      </c>
      <c r="D318" s="27">
        <v>45243</v>
      </c>
      <c r="E318" s="4" t="s">
        <v>20</v>
      </c>
      <c r="F318" s="4" t="s">
        <v>21</v>
      </c>
      <c r="G318" s="4" t="s">
        <v>739</v>
      </c>
      <c r="H318" s="4" t="s">
        <v>31</v>
      </c>
      <c r="I318" s="4">
        <v>1</v>
      </c>
      <c r="J318" s="4" t="s">
        <v>116</v>
      </c>
      <c r="K318" s="4">
        <v>130</v>
      </c>
      <c r="L318" s="4">
        <v>7</v>
      </c>
      <c r="M318" s="4" t="s">
        <v>25</v>
      </c>
      <c r="N318" s="28">
        <v>0.154164883060798</v>
      </c>
      <c r="O318" s="4" t="s">
        <v>47</v>
      </c>
      <c r="P318" s="4">
        <v>910</v>
      </c>
      <c r="Q318" s="4">
        <v>770</v>
      </c>
      <c r="R318" s="4">
        <v>74</v>
      </c>
    </row>
    <row r="319" spans="1:18">
      <c r="A319" s="4" t="s">
        <v>740</v>
      </c>
      <c r="B319" s="4" t="s">
        <v>732</v>
      </c>
      <c r="C319" s="4" t="s">
        <v>36</v>
      </c>
      <c r="D319" s="27">
        <v>45235</v>
      </c>
      <c r="E319" s="4" t="s">
        <v>29</v>
      </c>
      <c r="F319" s="4" t="s">
        <v>21</v>
      </c>
      <c r="G319" s="4" t="s">
        <v>741</v>
      </c>
      <c r="H319" s="4" t="s">
        <v>40</v>
      </c>
      <c r="I319" s="4">
        <v>5</v>
      </c>
      <c r="J319" s="4" t="s">
        <v>120</v>
      </c>
      <c r="K319" s="4">
        <v>72</v>
      </c>
      <c r="L319" s="4">
        <v>7</v>
      </c>
      <c r="M319" s="4" t="s">
        <v>33</v>
      </c>
      <c r="N319" s="28">
        <v>0.666466096252429</v>
      </c>
      <c r="O319" s="4" t="s">
        <v>26</v>
      </c>
      <c r="P319" s="4">
        <v>504</v>
      </c>
      <c r="Q319" s="4">
        <v>168</v>
      </c>
      <c r="R319" s="4">
        <v>25</v>
      </c>
    </row>
    <row r="320" spans="1:18">
      <c r="A320" s="4" t="s">
        <v>742</v>
      </c>
      <c r="B320" s="4" t="s">
        <v>734</v>
      </c>
      <c r="C320" s="4" t="s">
        <v>44</v>
      </c>
      <c r="D320" s="27">
        <v>45248</v>
      </c>
      <c r="E320" s="4" t="s">
        <v>20</v>
      </c>
      <c r="F320" s="4" t="s">
        <v>21</v>
      </c>
      <c r="G320" s="4" t="s">
        <v>743</v>
      </c>
      <c r="H320" s="4" t="s">
        <v>23</v>
      </c>
      <c r="I320" s="4">
        <v>1</v>
      </c>
      <c r="J320" s="4" t="s">
        <v>24</v>
      </c>
      <c r="K320" s="4">
        <v>65</v>
      </c>
      <c r="L320" s="4">
        <v>4</v>
      </c>
      <c r="M320" s="4" t="s">
        <v>25</v>
      </c>
      <c r="N320" s="28">
        <v>0.691837520342533</v>
      </c>
      <c r="O320" s="4" t="s">
        <v>34</v>
      </c>
      <c r="P320" s="4">
        <v>260</v>
      </c>
      <c r="Q320" s="4">
        <v>80</v>
      </c>
      <c r="R320" s="4">
        <v>37</v>
      </c>
    </row>
    <row r="321" spans="1:18">
      <c r="A321" s="4" t="s">
        <v>744</v>
      </c>
      <c r="B321" s="4" t="s">
        <v>736</v>
      </c>
      <c r="C321" s="4" t="s">
        <v>49</v>
      </c>
      <c r="D321" s="27">
        <v>45234</v>
      </c>
      <c r="E321" s="4" t="s">
        <v>29</v>
      </c>
      <c r="F321" s="4" t="s">
        <v>21</v>
      </c>
      <c r="G321" s="4" t="s">
        <v>745</v>
      </c>
      <c r="H321" s="4" t="s">
        <v>31</v>
      </c>
      <c r="I321" s="4">
        <v>5</v>
      </c>
      <c r="J321" s="4" t="s">
        <v>32</v>
      </c>
      <c r="K321" s="4">
        <v>250</v>
      </c>
      <c r="L321" s="4">
        <v>2</v>
      </c>
      <c r="M321" s="4" t="s">
        <v>33</v>
      </c>
      <c r="N321" s="28">
        <v>0.146495995912347</v>
      </c>
      <c r="O321" s="4" t="s">
        <v>42</v>
      </c>
      <c r="P321" s="4">
        <v>500</v>
      </c>
      <c r="Q321" s="4">
        <v>427</v>
      </c>
      <c r="R321" s="4">
        <v>98</v>
      </c>
    </row>
    <row r="322" spans="1:18">
      <c r="A322" s="4" t="s">
        <v>746</v>
      </c>
      <c r="B322" s="4" t="s">
        <v>738</v>
      </c>
      <c r="C322" s="4" t="s">
        <v>53</v>
      </c>
      <c r="D322" s="27">
        <v>45253</v>
      </c>
      <c r="E322" s="4" t="s">
        <v>37</v>
      </c>
      <c r="F322" s="4" t="s">
        <v>38</v>
      </c>
      <c r="G322" s="4" t="s">
        <v>747</v>
      </c>
      <c r="H322" s="4" t="s">
        <v>40</v>
      </c>
      <c r="I322" s="4">
        <v>5</v>
      </c>
      <c r="J322" s="4" t="s">
        <v>86</v>
      </c>
      <c r="K322" s="4">
        <v>130</v>
      </c>
      <c r="L322" s="4">
        <v>2</v>
      </c>
      <c r="M322" s="4" t="s">
        <v>25</v>
      </c>
      <c r="N322" s="28">
        <v>0.98540635482364</v>
      </c>
      <c r="O322" s="4" t="s">
        <v>47</v>
      </c>
      <c r="P322" s="4">
        <v>260</v>
      </c>
      <c r="Q322" s="4">
        <v>4</v>
      </c>
      <c r="R322" s="4">
        <v>85</v>
      </c>
    </row>
    <row r="323" spans="1:18">
      <c r="A323" s="4" t="s">
        <v>748</v>
      </c>
      <c r="B323" s="4" t="s">
        <v>740</v>
      </c>
      <c r="C323" s="4" t="s">
        <v>61</v>
      </c>
      <c r="D323" s="27">
        <v>45256</v>
      </c>
      <c r="E323" s="4" t="s">
        <v>20</v>
      </c>
      <c r="F323" s="4" t="s">
        <v>21</v>
      </c>
      <c r="G323" s="4" t="s">
        <v>749</v>
      </c>
      <c r="H323" s="4" t="s">
        <v>23</v>
      </c>
      <c r="I323" s="4">
        <v>3</v>
      </c>
      <c r="J323" s="4" t="s">
        <v>89</v>
      </c>
      <c r="K323" s="4">
        <v>72</v>
      </c>
      <c r="L323" s="4">
        <v>9</v>
      </c>
      <c r="M323" s="4" t="s">
        <v>33</v>
      </c>
      <c r="N323" s="28">
        <v>0.320913207357887</v>
      </c>
      <c r="O323" s="4" t="s">
        <v>26</v>
      </c>
      <c r="P323" s="4">
        <v>648</v>
      </c>
      <c r="Q323" s="4">
        <v>440</v>
      </c>
      <c r="R323" s="4">
        <v>18</v>
      </c>
    </row>
    <row r="324" spans="1:18">
      <c r="A324" s="4" t="s">
        <v>750</v>
      </c>
      <c r="B324" s="4" t="s">
        <v>742</v>
      </c>
      <c r="C324" s="4" t="s">
        <v>61</v>
      </c>
      <c r="D324" s="27">
        <v>45245</v>
      </c>
      <c r="E324" s="4" t="s">
        <v>29</v>
      </c>
      <c r="F324" s="4" t="s">
        <v>21</v>
      </c>
      <c r="G324" s="4" t="s">
        <v>751</v>
      </c>
      <c r="H324" s="4" t="s">
        <v>31</v>
      </c>
      <c r="I324" s="4">
        <v>3</v>
      </c>
      <c r="J324" s="4" t="s">
        <v>93</v>
      </c>
      <c r="K324" s="4">
        <v>65</v>
      </c>
      <c r="L324" s="4">
        <v>9</v>
      </c>
      <c r="M324" s="4" t="s">
        <v>33</v>
      </c>
      <c r="N324" s="28">
        <v>0.944953941092757</v>
      </c>
      <c r="O324" s="4" t="s">
        <v>34</v>
      </c>
      <c r="P324" s="4">
        <v>585</v>
      </c>
      <c r="Q324" s="4">
        <v>32</v>
      </c>
      <c r="R324" s="4">
        <v>25</v>
      </c>
    </row>
    <row r="325" spans="1:18">
      <c r="A325" s="4" t="s">
        <v>752</v>
      </c>
      <c r="B325" s="4" t="s">
        <v>744</v>
      </c>
      <c r="C325" s="4" t="s">
        <v>65</v>
      </c>
      <c r="D325" s="27">
        <v>45253</v>
      </c>
      <c r="E325" s="4" t="s">
        <v>29</v>
      </c>
      <c r="F325" s="4" t="s">
        <v>21</v>
      </c>
      <c r="G325" s="4" t="s">
        <v>753</v>
      </c>
      <c r="H325" s="4" t="s">
        <v>40</v>
      </c>
      <c r="I325" s="4">
        <v>7</v>
      </c>
      <c r="J325" s="4" t="s">
        <v>96</v>
      </c>
      <c r="K325" s="4">
        <v>250</v>
      </c>
      <c r="L325" s="4">
        <v>2</v>
      </c>
      <c r="M325" s="4" t="s">
        <v>33</v>
      </c>
      <c r="N325" s="28">
        <v>0.509067480271997</v>
      </c>
      <c r="O325" s="4" t="s">
        <v>42</v>
      </c>
      <c r="P325" s="4">
        <v>500</v>
      </c>
      <c r="Q325" s="4">
        <v>245</v>
      </c>
      <c r="R325" s="4">
        <v>73</v>
      </c>
    </row>
    <row r="326" spans="1:18">
      <c r="A326" s="4" t="s">
        <v>754</v>
      </c>
      <c r="B326" s="4" t="s">
        <v>746</v>
      </c>
      <c r="C326" s="4" t="s">
        <v>53</v>
      </c>
      <c r="D326" s="27">
        <v>45240</v>
      </c>
      <c r="E326" s="4" t="s">
        <v>20</v>
      </c>
      <c r="F326" s="4" t="s">
        <v>21</v>
      </c>
      <c r="G326" s="4" t="s">
        <v>755</v>
      </c>
      <c r="H326" s="4" t="s">
        <v>23</v>
      </c>
      <c r="I326" s="4">
        <v>4</v>
      </c>
      <c r="J326" s="4" t="s">
        <v>58</v>
      </c>
      <c r="K326" s="4">
        <v>130</v>
      </c>
      <c r="L326" s="4">
        <v>4</v>
      </c>
      <c r="M326" s="4" t="s">
        <v>33</v>
      </c>
      <c r="N326" s="28">
        <v>0.660590532667063</v>
      </c>
      <c r="O326" s="4" t="s">
        <v>47</v>
      </c>
      <c r="P326" s="4">
        <v>520</v>
      </c>
      <c r="Q326" s="4">
        <v>176</v>
      </c>
      <c r="R326" s="4">
        <v>66</v>
      </c>
    </row>
    <row r="327" spans="1:18">
      <c r="A327" s="4" t="s">
        <v>756</v>
      </c>
      <c r="B327" s="4" t="s">
        <v>748</v>
      </c>
      <c r="C327" s="4" t="s">
        <v>73</v>
      </c>
      <c r="D327" s="27">
        <v>45236</v>
      </c>
      <c r="E327" s="4" t="s">
        <v>29</v>
      </c>
      <c r="F327" s="4" t="s">
        <v>21</v>
      </c>
      <c r="G327" s="4" t="s">
        <v>757</v>
      </c>
      <c r="H327" s="4" t="s">
        <v>31</v>
      </c>
      <c r="I327" s="4">
        <v>3</v>
      </c>
      <c r="J327" s="4" t="s">
        <v>63</v>
      </c>
      <c r="K327" s="4">
        <v>72</v>
      </c>
      <c r="L327" s="4">
        <v>8</v>
      </c>
      <c r="M327" s="4" t="s">
        <v>33</v>
      </c>
      <c r="N327" s="28">
        <v>0.896156014037031</v>
      </c>
      <c r="O327" s="4" t="s">
        <v>26</v>
      </c>
      <c r="P327" s="4">
        <v>576</v>
      </c>
      <c r="Q327" s="4">
        <v>60</v>
      </c>
      <c r="R327" s="4">
        <v>29</v>
      </c>
    </row>
    <row r="328" spans="1:18">
      <c r="A328" s="4" t="s">
        <v>758</v>
      </c>
      <c r="B328" s="4" t="s">
        <v>750</v>
      </c>
      <c r="C328" s="4" t="s">
        <v>77</v>
      </c>
      <c r="D328" s="27">
        <v>45239</v>
      </c>
      <c r="E328" s="4" t="s">
        <v>20</v>
      </c>
      <c r="F328" s="4" t="s">
        <v>38</v>
      </c>
      <c r="G328" s="4" t="s">
        <v>759</v>
      </c>
      <c r="H328" s="4" t="s">
        <v>40</v>
      </c>
      <c r="I328" s="4">
        <v>8</v>
      </c>
      <c r="J328" s="4" t="s">
        <v>67</v>
      </c>
      <c r="K328" s="4">
        <v>65</v>
      </c>
      <c r="L328" s="4">
        <v>8</v>
      </c>
      <c r="M328" s="4" t="s">
        <v>25</v>
      </c>
      <c r="N328" s="28">
        <v>0.133950017527805</v>
      </c>
      <c r="O328" s="4" t="s">
        <v>34</v>
      </c>
      <c r="P328" s="4">
        <v>520</v>
      </c>
      <c r="Q328" s="4">
        <v>450</v>
      </c>
      <c r="R328" s="4">
        <v>39</v>
      </c>
    </row>
    <row r="329" spans="1:18">
      <c r="A329" s="4" t="s">
        <v>760</v>
      </c>
      <c r="B329" s="4" t="s">
        <v>752</v>
      </c>
      <c r="C329" s="4" t="s">
        <v>229</v>
      </c>
      <c r="D329" s="27">
        <v>45248</v>
      </c>
      <c r="E329" s="4" t="s">
        <v>29</v>
      </c>
      <c r="F329" s="4" t="s">
        <v>21</v>
      </c>
      <c r="G329" s="4" t="s">
        <v>761</v>
      </c>
      <c r="H329" s="4" t="s">
        <v>23</v>
      </c>
      <c r="I329" s="4">
        <v>2</v>
      </c>
      <c r="J329" s="4" t="s">
        <v>103</v>
      </c>
      <c r="K329" s="4">
        <v>250</v>
      </c>
      <c r="L329" s="4">
        <v>4</v>
      </c>
      <c r="M329" s="4" t="s">
        <v>33</v>
      </c>
      <c r="N329" s="28">
        <v>0.382379729799847</v>
      </c>
      <c r="O329" s="4" t="s">
        <v>42</v>
      </c>
      <c r="P329" s="4">
        <v>1000</v>
      </c>
      <c r="Q329" s="4">
        <v>618</v>
      </c>
      <c r="R329" s="4">
        <v>88</v>
      </c>
    </row>
    <row r="330" spans="1:18">
      <c r="A330" s="4" t="s">
        <v>762</v>
      </c>
      <c r="B330" s="4" t="s">
        <v>754</v>
      </c>
      <c r="C330" s="4" t="s">
        <v>84</v>
      </c>
      <c r="D330" s="27">
        <v>45256</v>
      </c>
      <c r="E330" s="4" t="s">
        <v>29</v>
      </c>
      <c r="F330" s="4" t="s">
        <v>21</v>
      </c>
      <c r="G330" s="4" t="s">
        <v>763</v>
      </c>
      <c r="H330" s="4" t="s">
        <v>31</v>
      </c>
      <c r="I330" s="4">
        <v>9</v>
      </c>
      <c r="J330" s="4" t="s">
        <v>108</v>
      </c>
      <c r="K330" s="4">
        <v>130</v>
      </c>
      <c r="L330" s="4">
        <v>2</v>
      </c>
      <c r="M330" s="4" t="s">
        <v>25</v>
      </c>
      <c r="N330" s="28">
        <v>0.150738256013421</v>
      </c>
      <c r="O330" s="4" t="s">
        <v>47</v>
      </c>
      <c r="P330" s="4">
        <v>260</v>
      </c>
      <c r="Q330" s="4">
        <v>221</v>
      </c>
      <c r="R330" s="4">
        <v>56</v>
      </c>
    </row>
    <row r="331" spans="1:18">
      <c r="A331" s="4" t="s">
        <v>764</v>
      </c>
      <c r="B331" s="4" t="s">
        <v>756</v>
      </c>
      <c r="C331" s="4" t="s">
        <v>53</v>
      </c>
      <c r="D331" s="27">
        <v>45260</v>
      </c>
      <c r="E331" s="4" t="s">
        <v>20</v>
      </c>
      <c r="F331" s="4" t="s">
        <v>21</v>
      </c>
      <c r="G331" s="4" t="s">
        <v>765</v>
      </c>
      <c r="H331" s="4" t="s">
        <v>40</v>
      </c>
      <c r="I331" s="4">
        <v>6</v>
      </c>
      <c r="J331" s="4" t="s">
        <v>112</v>
      </c>
      <c r="K331" s="4">
        <v>60</v>
      </c>
      <c r="L331" s="4">
        <v>10</v>
      </c>
      <c r="M331" s="4" t="s">
        <v>33</v>
      </c>
      <c r="N331" s="28">
        <v>0.963951282479031</v>
      </c>
      <c r="O331" s="4" t="s">
        <v>68</v>
      </c>
      <c r="P331" s="4">
        <v>600</v>
      </c>
      <c r="Q331" s="4">
        <v>22</v>
      </c>
      <c r="R331" s="4">
        <v>25</v>
      </c>
    </row>
    <row r="332" spans="1:18">
      <c r="A332" s="4" t="s">
        <v>766</v>
      </c>
      <c r="B332" s="4" t="s">
        <v>758</v>
      </c>
      <c r="C332" s="4" t="s">
        <v>91</v>
      </c>
      <c r="D332" s="27">
        <v>45251</v>
      </c>
      <c r="E332" s="4" t="s">
        <v>29</v>
      </c>
      <c r="F332" s="4" t="s">
        <v>21</v>
      </c>
      <c r="G332" s="4" t="s">
        <v>767</v>
      </c>
      <c r="H332" s="4" t="s">
        <v>23</v>
      </c>
      <c r="I332" s="4">
        <v>7</v>
      </c>
      <c r="J332" s="4" t="s">
        <v>116</v>
      </c>
      <c r="K332" s="4">
        <v>72</v>
      </c>
      <c r="L332" s="4">
        <v>5</v>
      </c>
      <c r="M332" s="4" t="s">
        <v>25</v>
      </c>
      <c r="N332" s="28">
        <v>0.938940837056845</v>
      </c>
      <c r="O332" s="4" t="s">
        <v>26</v>
      </c>
      <c r="P332" s="4">
        <v>360</v>
      </c>
      <c r="Q332" s="4">
        <v>22</v>
      </c>
      <c r="R332" s="4">
        <v>21</v>
      </c>
    </row>
    <row r="333" spans="1:18">
      <c r="A333" s="4" t="s">
        <v>768</v>
      </c>
      <c r="B333" s="4" t="s">
        <v>760</v>
      </c>
      <c r="C333" s="4" t="s">
        <v>77</v>
      </c>
      <c r="D333" s="27">
        <v>45242</v>
      </c>
      <c r="E333" s="4" t="s">
        <v>29</v>
      </c>
      <c r="F333" s="4" t="s">
        <v>21</v>
      </c>
      <c r="G333" s="4" t="s">
        <v>769</v>
      </c>
      <c r="H333" s="4" t="s">
        <v>31</v>
      </c>
      <c r="I333" s="4">
        <v>9</v>
      </c>
      <c r="J333" s="4" t="s">
        <v>120</v>
      </c>
      <c r="K333" s="4">
        <v>65</v>
      </c>
      <c r="L333" s="4">
        <v>7</v>
      </c>
      <c r="M333" s="4" t="s">
        <v>33</v>
      </c>
      <c r="N333" s="28">
        <v>0.903352705784895</v>
      </c>
      <c r="O333" s="4" t="s">
        <v>34</v>
      </c>
      <c r="P333" s="4">
        <v>455</v>
      </c>
      <c r="Q333" s="4">
        <v>44</v>
      </c>
      <c r="R333" s="4">
        <v>38</v>
      </c>
    </row>
    <row r="334" spans="1:18">
      <c r="A334" s="4" t="s">
        <v>770</v>
      </c>
      <c r="B334" s="4" t="s">
        <v>762</v>
      </c>
      <c r="C334" s="4" t="s">
        <v>49</v>
      </c>
      <c r="D334" s="27">
        <v>45252</v>
      </c>
      <c r="E334" s="4" t="s">
        <v>20</v>
      </c>
      <c r="F334" s="4" t="s">
        <v>38</v>
      </c>
      <c r="G334" s="4" t="s">
        <v>771</v>
      </c>
      <c r="H334" s="4" t="s">
        <v>40</v>
      </c>
      <c r="I334" s="4">
        <v>2</v>
      </c>
      <c r="J334" s="4" t="s">
        <v>24</v>
      </c>
      <c r="K334" s="4">
        <v>250</v>
      </c>
      <c r="L334" s="4">
        <v>2</v>
      </c>
      <c r="M334" s="4" t="s">
        <v>25</v>
      </c>
      <c r="N334" s="28">
        <v>0.622097773219959</v>
      </c>
      <c r="O334" s="4" t="s">
        <v>42</v>
      </c>
      <c r="P334" s="4">
        <v>500</v>
      </c>
      <c r="Q334" s="4">
        <v>189</v>
      </c>
      <c r="R334" s="4">
        <v>78</v>
      </c>
    </row>
    <row r="335" spans="1:18">
      <c r="A335" s="4" t="s">
        <v>772</v>
      </c>
      <c r="B335" s="4" t="s">
        <v>764</v>
      </c>
      <c r="C335" s="4" t="s">
        <v>73</v>
      </c>
      <c r="D335" s="27">
        <v>45246</v>
      </c>
      <c r="E335" s="4" t="s">
        <v>29</v>
      </c>
      <c r="F335" s="4" t="s">
        <v>21</v>
      </c>
      <c r="G335" s="4" t="s">
        <v>773</v>
      </c>
      <c r="H335" s="4" t="s">
        <v>23</v>
      </c>
      <c r="I335" s="4">
        <v>9</v>
      </c>
      <c r="J335" s="4" t="s">
        <v>32</v>
      </c>
      <c r="K335" s="4">
        <v>130</v>
      </c>
      <c r="L335" s="4">
        <v>5</v>
      </c>
      <c r="M335" s="4" t="s">
        <v>33</v>
      </c>
      <c r="N335" s="28">
        <v>0.0616767904433965</v>
      </c>
      <c r="O335" s="4" t="s">
        <v>47</v>
      </c>
      <c r="P335" s="4">
        <v>650</v>
      </c>
      <c r="Q335" s="4">
        <v>610</v>
      </c>
      <c r="R335" s="4">
        <v>77</v>
      </c>
    </row>
    <row r="336" spans="1:18">
      <c r="A336" s="4" t="s">
        <v>774</v>
      </c>
      <c r="B336" s="4" t="s">
        <v>766</v>
      </c>
      <c r="C336" s="4" t="s">
        <v>106</v>
      </c>
      <c r="D336" s="27">
        <v>45256</v>
      </c>
      <c r="E336" s="4" t="s">
        <v>20</v>
      </c>
      <c r="F336" s="4" t="s">
        <v>21</v>
      </c>
      <c r="G336" s="4" t="s">
        <v>775</v>
      </c>
      <c r="H336" s="4" t="s">
        <v>31</v>
      </c>
      <c r="I336" s="4">
        <v>10</v>
      </c>
      <c r="J336" s="4" t="s">
        <v>41</v>
      </c>
      <c r="K336" s="4">
        <v>72</v>
      </c>
      <c r="L336" s="4">
        <v>12</v>
      </c>
      <c r="M336" s="4" t="s">
        <v>25</v>
      </c>
      <c r="N336" s="28">
        <v>0.492135213174211</v>
      </c>
      <c r="O336" s="4" t="s">
        <v>26</v>
      </c>
      <c r="P336" s="4">
        <v>864</v>
      </c>
      <c r="Q336" s="4">
        <v>439</v>
      </c>
      <c r="R336" s="4">
        <v>40</v>
      </c>
    </row>
    <row r="337" spans="1:18">
      <c r="A337" s="4" t="s">
        <v>776</v>
      </c>
      <c r="B337" s="4" t="s">
        <v>768</v>
      </c>
      <c r="C337" s="4" t="s">
        <v>110</v>
      </c>
      <c r="D337" s="27">
        <v>45244</v>
      </c>
      <c r="E337" s="4" t="s">
        <v>29</v>
      </c>
      <c r="F337" s="4" t="s">
        <v>21</v>
      </c>
      <c r="G337" s="4" t="s">
        <v>777</v>
      </c>
      <c r="H337" s="4" t="s">
        <v>40</v>
      </c>
      <c r="I337" s="4">
        <v>1</v>
      </c>
      <c r="J337" s="4" t="s">
        <v>46</v>
      </c>
      <c r="K337" s="4">
        <v>65</v>
      </c>
      <c r="L337" s="4">
        <v>9</v>
      </c>
      <c r="M337" s="4" t="s">
        <v>33</v>
      </c>
      <c r="N337" s="28">
        <v>0.695527119859949</v>
      </c>
      <c r="O337" s="4" t="s">
        <v>34</v>
      </c>
      <c r="P337" s="4">
        <v>585</v>
      </c>
      <c r="Q337" s="4">
        <v>178</v>
      </c>
      <c r="R337" s="4">
        <v>31</v>
      </c>
    </row>
    <row r="338" spans="1:18">
      <c r="A338" s="4" t="s">
        <v>778</v>
      </c>
      <c r="B338" s="4" t="s">
        <v>770</v>
      </c>
      <c r="C338" s="4" t="s">
        <v>114</v>
      </c>
      <c r="D338" s="27">
        <v>45245</v>
      </c>
      <c r="E338" s="4" t="s">
        <v>20</v>
      </c>
      <c r="F338" s="4" t="s">
        <v>21</v>
      </c>
      <c r="G338" s="4" t="s">
        <v>779</v>
      </c>
      <c r="H338" s="4" t="s">
        <v>23</v>
      </c>
      <c r="I338" s="4">
        <v>1</v>
      </c>
      <c r="J338" s="4" t="s">
        <v>51</v>
      </c>
      <c r="K338" s="4">
        <v>250</v>
      </c>
      <c r="L338" s="4">
        <v>4</v>
      </c>
      <c r="M338" s="4" t="s">
        <v>25</v>
      </c>
      <c r="N338" s="28">
        <v>0.545289072783541</v>
      </c>
      <c r="O338" s="4" t="s">
        <v>42</v>
      </c>
      <c r="P338" s="4">
        <v>1000</v>
      </c>
      <c r="Q338" s="4">
        <v>455</v>
      </c>
      <c r="R338" s="4">
        <v>115</v>
      </c>
    </row>
    <row r="339" spans="1:18">
      <c r="A339" s="4" t="s">
        <v>780</v>
      </c>
      <c r="B339" s="4" t="s">
        <v>772</v>
      </c>
      <c r="C339" s="4" t="s">
        <v>118</v>
      </c>
      <c r="D339" s="27">
        <v>45232</v>
      </c>
      <c r="E339" s="4" t="s">
        <v>29</v>
      </c>
      <c r="F339" s="4" t="s">
        <v>21</v>
      </c>
      <c r="G339" s="4" t="s">
        <v>781</v>
      </c>
      <c r="H339" s="4" t="s">
        <v>31</v>
      </c>
      <c r="I339" s="4">
        <v>10</v>
      </c>
      <c r="J339" s="4" t="s">
        <v>55</v>
      </c>
      <c r="K339" s="4">
        <v>130</v>
      </c>
      <c r="L339" s="4">
        <v>4</v>
      </c>
      <c r="M339" s="4" t="s">
        <v>33</v>
      </c>
      <c r="N339" s="28">
        <v>0.351995365382247</v>
      </c>
      <c r="O339" s="4" t="s">
        <v>47</v>
      </c>
      <c r="P339" s="4">
        <v>520</v>
      </c>
      <c r="Q339" s="4">
        <v>337</v>
      </c>
      <c r="R339" s="4">
        <v>40</v>
      </c>
    </row>
    <row r="340" spans="1:18">
      <c r="A340" s="4" t="s">
        <v>782</v>
      </c>
      <c r="B340" s="4" t="s">
        <v>774</v>
      </c>
      <c r="C340" s="4" t="s">
        <v>122</v>
      </c>
      <c r="D340" s="27">
        <v>45257</v>
      </c>
      <c r="E340" s="4" t="s">
        <v>37</v>
      </c>
      <c r="F340" s="4" t="s">
        <v>38</v>
      </c>
      <c r="G340" s="4" t="s">
        <v>783</v>
      </c>
      <c r="H340" s="4" t="s">
        <v>40</v>
      </c>
      <c r="I340" s="4">
        <v>4</v>
      </c>
      <c r="J340" s="4" t="s">
        <v>58</v>
      </c>
      <c r="K340" s="4">
        <v>60</v>
      </c>
      <c r="L340" s="4">
        <v>6</v>
      </c>
      <c r="M340" s="4" t="s">
        <v>25</v>
      </c>
      <c r="N340" s="28">
        <v>0.0602925336290991</v>
      </c>
      <c r="O340" s="4" t="s">
        <v>68</v>
      </c>
      <c r="P340" s="4">
        <v>360</v>
      </c>
      <c r="Q340" s="4">
        <v>338</v>
      </c>
      <c r="R340" s="4">
        <v>32</v>
      </c>
    </row>
    <row r="341" spans="1:18">
      <c r="A341" s="4" t="s">
        <v>784</v>
      </c>
      <c r="B341" s="4" t="s">
        <v>776</v>
      </c>
      <c r="C341" s="4" t="s">
        <v>126</v>
      </c>
      <c r="D341" s="27">
        <v>45233</v>
      </c>
      <c r="E341" s="4" t="s">
        <v>20</v>
      </c>
      <c r="F341" s="4" t="s">
        <v>21</v>
      </c>
      <c r="G341" s="4" t="s">
        <v>785</v>
      </c>
      <c r="H341" s="4" t="s">
        <v>23</v>
      </c>
      <c r="I341" s="4">
        <v>7</v>
      </c>
      <c r="J341" s="4" t="s">
        <v>63</v>
      </c>
      <c r="K341" s="4">
        <v>95</v>
      </c>
      <c r="L341" s="4">
        <v>7</v>
      </c>
      <c r="M341" s="4" t="s">
        <v>33</v>
      </c>
      <c r="N341" s="28">
        <v>0.0414344572817006</v>
      </c>
      <c r="O341" s="4" t="s">
        <v>104</v>
      </c>
      <c r="P341" s="4">
        <v>665</v>
      </c>
      <c r="Q341" s="4">
        <v>637</v>
      </c>
      <c r="R341" s="4">
        <v>48</v>
      </c>
    </row>
    <row r="342" spans="1:18">
      <c r="A342" s="4" t="s">
        <v>786</v>
      </c>
      <c r="B342" s="4" t="s">
        <v>778</v>
      </c>
      <c r="C342" s="4" t="s">
        <v>130</v>
      </c>
      <c r="D342" s="27">
        <v>45260</v>
      </c>
      <c r="E342" s="4" t="s">
        <v>29</v>
      </c>
      <c r="F342" s="4" t="s">
        <v>21</v>
      </c>
      <c r="G342" s="4" t="s">
        <v>787</v>
      </c>
      <c r="H342" s="4" t="s">
        <v>31</v>
      </c>
      <c r="I342" s="4">
        <v>3</v>
      </c>
      <c r="J342" s="4" t="s">
        <v>67</v>
      </c>
      <c r="K342" s="4">
        <v>72</v>
      </c>
      <c r="L342" s="4">
        <v>3</v>
      </c>
      <c r="M342" s="4" t="s">
        <v>25</v>
      </c>
      <c r="N342" s="28">
        <v>0.295162748845202</v>
      </c>
      <c r="O342" s="4" t="s">
        <v>26</v>
      </c>
      <c r="P342" s="4">
        <v>216</v>
      </c>
      <c r="Q342" s="4">
        <v>152</v>
      </c>
      <c r="R342" s="4">
        <v>41</v>
      </c>
    </row>
    <row r="343" spans="1:18">
      <c r="A343" s="4" t="s">
        <v>788</v>
      </c>
      <c r="B343" s="4" t="s">
        <v>780</v>
      </c>
      <c r="C343" s="4" t="s">
        <v>134</v>
      </c>
      <c r="D343" s="27">
        <v>45238</v>
      </c>
      <c r="E343" s="4" t="s">
        <v>29</v>
      </c>
      <c r="F343" s="4" t="s">
        <v>21</v>
      </c>
      <c r="G343" s="4" t="s">
        <v>789</v>
      </c>
      <c r="H343" s="4" t="s">
        <v>40</v>
      </c>
      <c r="I343" s="4">
        <v>6</v>
      </c>
      <c r="J343" s="4" t="s">
        <v>71</v>
      </c>
      <c r="K343" s="4">
        <v>65</v>
      </c>
      <c r="L343" s="4">
        <v>4</v>
      </c>
      <c r="M343" s="4" t="s">
        <v>33</v>
      </c>
      <c r="N343" s="28">
        <v>0.681542945401193</v>
      </c>
      <c r="O343" s="4" t="s">
        <v>34</v>
      </c>
      <c r="P343" s="4">
        <v>260</v>
      </c>
      <c r="Q343" s="4">
        <v>83</v>
      </c>
      <c r="R343" s="4">
        <v>20</v>
      </c>
    </row>
    <row r="344" spans="1:18">
      <c r="A344" s="4" t="s">
        <v>790</v>
      </c>
      <c r="B344" s="4" t="s">
        <v>782</v>
      </c>
      <c r="C344" s="4" t="s">
        <v>139</v>
      </c>
      <c r="D344" s="27">
        <v>45244</v>
      </c>
      <c r="E344" s="4" t="s">
        <v>20</v>
      </c>
      <c r="F344" s="4" t="s">
        <v>21</v>
      </c>
      <c r="G344" s="4" t="s">
        <v>791</v>
      </c>
      <c r="H344" s="4" t="s">
        <v>23</v>
      </c>
      <c r="I344" s="4">
        <v>6</v>
      </c>
      <c r="J344" s="4" t="s">
        <v>75</v>
      </c>
      <c r="K344" s="4">
        <v>250</v>
      </c>
      <c r="L344" s="4">
        <v>1</v>
      </c>
      <c r="M344" s="4" t="s">
        <v>25</v>
      </c>
      <c r="N344" s="28">
        <v>0.526323465202974</v>
      </c>
      <c r="O344" s="4" t="s">
        <v>42</v>
      </c>
      <c r="P344" s="4">
        <v>250</v>
      </c>
      <c r="Q344" s="4">
        <v>118</v>
      </c>
      <c r="R344" s="4">
        <v>83</v>
      </c>
    </row>
    <row r="345" spans="1:18">
      <c r="A345" s="4" t="s">
        <v>792</v>
      </c>
      <c r="B345" s="4" t="s">
        <v>784</v>
      </c>
      <c r="C345" s="4" t="s">
        <v>143</v>
      </c>
      <c r="D345" s="27">
        <v>45233</v>
      </c>
      <c r="E345" s="4" t="s">
        <v>29</v>
      </c>
      <c r="F345" s="4" t="s">
        <v>21</v>
      </c>
      <c r="G345" s="4" t="s">
        <v>793</v>
      </c>
      <c r="H345" s="4" t="s">
        <v>31</v>
      </c>
      <c r="I345" s="4">
        <v>5</v>
      </c>
      <c r="J345" s="4" t="s">
        <v>79</v>
      </c>
      <c r="K345" s="4">
        <v>130</v>
      </c>
      <c r="L345" s="4">
        <v>6</v>
      </c>
      <c r="M345" s="4" t="s">
        <v>33</v>
      </c>
      <c r="N345" s="28">
        <v>0.0544376879035369</v>
      </c>
      <c r="O345" s="4" t="s">
        <v>47</v>
      </c>
      <c r="P345" s="4">
        <v>780</v>
      </c>
      <c r="Q345" s="4">
        <v>738</v>
      </c>
      <c r="R345" s="4">
        <v>33</v>
      </c>
    </row>
    <row r="346" spans="1:18">
      <c r="A346" s="4" t="s">
        <v>794</v>
      </c>
      <c r="B346" s="4" t="s">
        <v>786</v>
      </c>
      <c r="C346" s="4" t="s">
        <v>146</v>
      </c>
      <c r="D346" s="27">
        <v>45234</v>
      </c>
      <c r="E346" s="4" t="s">
        <v>20</v>
      </c>
      <c r="F346" s="4" t="s">
        <v>38</v>
      </c>
      <c r="G346" s="4" t="s">
        <v>795</v>
      </c>
      <c r="H346" s="4" t="s">
        <v>40</v>
      </c>
      <c r="I346" s="4">
        <v>1</v>
      </c>
      <c r="J346" s="4" t="s">
        <v>82</v>
      </c>
      <c r="K346" s="4">
        <v>72</v>
      </c>
      <c r="L346" s="4">
        <v>10</v>
      </c>
      <c r="M346" s="4" t="s">
        <v>33</v>
      </c>
      <c r="N346" s="28">
        <v>0.953507388421749</v>
      </c>
      <c r="O346" s="4" t="s">
        <v>26</v>
      </c>
      <c r="P346" s="4">
        <v>720</v>
      </c>
      <c r="Q346" s="4">
        <v>33</v>
      </c>
      <c r="R346" s="4">
        <v>27</v>
      </c>
    </row>
    <row r="347" spans="1:18">
      <c r="A347" s="4" t="s">
        <v>796</v>
      </c>
      <c r="B347" s="4" t="s">
        <v>788</v>
      </c>
      <c r="C347" s="4"/>
      <c r="D347" s="27">
        <v>45242</v>
      </c>
      <c r="E347" s="4" t="s">
        <v>29</v>
      </c>
      <c r="F347" s="4" t="s">
        <v>21</v>
      </c>
      <c r="G347" s="4" t="s">
        <v>797</v>
      </c>
      <c r="H347" s="4" t="s">
        <v>23</v>
      </c>
      <c r="I347" s="4">
        <v>9</v>
      </c>
      <c r="J347" s="4" t="s">
        <v>24</v>
      </c>
      <c r="K347" s="4">
        <v>65</v>
      </c>
      <c r="L347" s="4">
        <v>4</v>
      </c>
      <c r="M347" s="4" t="s">
        <v>33</v>
      </c>
      <c r="N347" s="28">
        <v>0.467266513481762</v>
      </c>
      <c r="O347" s="4" t="s">
        <v>34</v>
      </c>
      <c r="P347" s="4">
        <v>260</v>
      </c>
      <c r="Q347" s="4">
        <v>139</v>
      </c>
      <c r="R347" s="4">
        <v>23</v>
      </c>
    </row>
    <row r="348" spans="1:18">
      <c r="A348" s="4" t="s">
        <v>798</v>
      </c>
      <c r="B348" s="4" t="s">
        <v>790</v>
      </c>
      <c r="C348" s="4" t="s">
        <v>152</v>
      </c>
      <c r="D348" s="27">
        <v>45248</v>
      </c>
      <c r="E348" s="4" t="s">
        <v>29</v>
      </c>
      <c r="F348" s="4" t="s">
        <v>21</v>
      </c>
      <c r="G348" s="4" t="s">
        <v>799</v>
      </c>
      <c r="H348" s="4" t="s">
        <v>31</v>
      </c>
      <c r="I348" s="4">
        <v>3</v>
      </c>
      <c r="J348" s="4" t="s">
        <v>32</v>
      </c>
      <c r="K348" s="4">
        <v>250</v>
      </c>
      <c r="L348" s="4">
        <v>2</v>
      </c>
      <c r="M348" s="4" t="s">
        <v>33</v>
      </c>
      <c r="N348" s="28">
        <v>0.601508981561199</v>
      </c>
      <c r="O348" s="4" t="s">
        <v>42</v>
      </c>
      <c r="P348" s="4">
        <v>500</v>
      </c>
      <c r="Q348" s="4">
        <v>199</v>
      </c>
      <c r="R348" s="4">
        <v>163</v>
      </c>
    </row>
    <row r="349" spans="1:18">
      <c r="A349" s="4" t="s">
        <v>800</v>
      </c>
      <c r="B349" s="4" t="s">
        <v>792</v>
      </c>
      <c r="C349" s="4" t="s">
        <v>84</v>
      </c>
      <c r="D349" s="27">
        <v>45245</v>
      </c>
      <c r="E349" s="4" t="s">
        <v>20</v>
      </c>
      <c r="F349" s="4" t="s">
        <v>21</v>
      </c>
      <c r="G349" s="4" t="s">
        <v>801</v>
      </c>
      <c r="H349" s="4" t="s">
        <v>40</v>
      </c>
      <c r="I349" s="4">
        <v>4</v>
      </c>
      <c r="J349" s="4" t="s">
        <v>41</v>
      </c>
      <c r="K349" s="4">
        <v>130</v>
      </c>
      <c r="L349" s="4">
        <v>7</v>
      </c>
      <c r="M349" s="4" t="s">
        <v>33</v>
      </c>
      <c r="N349" s="28">
        <v>0.171587647421878</v>
      </c>
      <c r="O349" s="4" t="s">
        <v>47</v>
      </c>
      <c r="P349" s="4">
        <v>910</v>
      </c>
      <c r="Q349" s="4">
        <v>754</v>
      </c>
      <c r="R349" s="4">
        <v>82</v>
      </c>
    </row>
    <row r="350" spans="1:18">
      <c r="A350" s="4" t="s">
        <v>802</v>
      </c>
      <c r="B350" s="4" t="s">
        <v>794</v>
      </c>
      <c r="C350" s="4" t="s">
        <v>118</v>
      </c>
      <c r="D350" s="27">
        <v>45247</v>
      </c>
      <c r="E350" s="4" t="s">
        <v>29</v>
      </c>
      <c r="F350" s="4" t="s">
        <v>21</v>
      </c>
      <c r="G350" s="4" t="s">
        <v>803</v>
      </c>
      <c r="H350" s="4" t="s">
        <v>23</v>
      </c>
      <c r="I350" s="4">
        <v>8</v>
      </c>
      <c r="J350" s="4" t="s">
        <v>46</v>
      </c>
      <c r="K350" s="4">
        <v>60</v>
      </c>
      <c r="L350" s="4">
        <v>11</v>
      </c>
      <c r="M350" s="4" t="s">
        <v>25</v>
      </c>
      <c r="N350" s="28">
        <v>0.447310508801029</v>
      </c>
      <c r="O350" s="4" t="s">
        <v>68</v>
      </c>
      <c r="P350" s="4">
        <v>660</v>
      </c>
      <c r="Q350" s="4">
        <v>365</v>
      </c>
      <c r="R350" s="4">
        <v>34</v>
      </c>
    </row>
    <row r="351" spans="1:18">
      <c r="A351" s="4" t="s">
        <v>804</v>
      </c>
      <c r="B351" s="4" t="s">
        <v>796</v>
      </c>
      <c r="C351" s="4" t="s">
        <v>139</v>
      </c>
      <c r="D351" s="27">
        <v>45243</v>
      </c>
      <c r="E351" s="4" t="s">
        <v>29</v>
      </c>
      <c r="F351" s="4" t="s">
        <v>21</v>
      </c>
      <c r="G351" s="4" t="s">
        <v>805</v>
      </c>
      <c r="H351" s="4" t="s">
        <v>23</v>
      </c>
      <c r="I351" s="4">
        <v>6</v>
      </c>
      <c r="J351" s="4" t="s">
        <v>51</v>
      </c>
      <c r="K351" s="4">
        <v>72</v>
      </c>
      <c r="L351" s="4">
        <v>8</v>
      </c>
      <c r="M351" s="4" t="s">
        <v>33</v>
      </c>
      <c r="N351" s="28">
        <v>0.542469530509582</v>
      </c>
      <c r="O351" s="4" t="s">
        <v>26</v>
      </c>
      <c r="P351" s="4">
        <v>576</v>
      </c>
      <c r="Q351" s="4">
        <v>264</v>
      </c>
      <c r="R351" s="4">
        <v>29</v>
      </c>
    </row>
    <row r="352" spans="1:18">
      <c r="A352" s="4" t="s">
        <v>806</v>
      </c>
      <c r="B352" s="4" t="s">
        <v>798</v>
      </c>
      <c r="C352" s="4" t="s">
        <v>49</v>
      </c>
      <c r="D352" s="27">
        <v>45231</v>
      </c>
      <c r="E352" s="4" t="s">
        <v>20</v>
      </c>
      <c r="F352" s="4" t="s">
        <v>21</v>
      </c>
      <c r="G352" s="4" t="s">
        <v>807</v>
      </c>
      <c r="H352" s="4" t="s">
        <v>23</v>
      </c>
      <c r="I352" s="4">
        <v>10</v>
      </c>
      <c r="J352" s="4" t="s">
        <v>55</v>
      </c>
      <c r="K352" s="4">
        <v>65</v>
      </c>
      <c r="L352" s="4">
        <v>11</v>
      </c>
      <c r="M352" s="4" t="s">
        <v>25</v>
      </c>
      <c r="N352" s="28">
        <v>0.504848049472984</v>
      </c>
      <c r="O352" s="4" t="s">
        <v>34</v>
      </c>
      <c r="P352" s="4">
        <v>715</v>
      </c>
      <c r="Q352" s="4">
        <v>354</v>
      </c>
      <c r="R352" s="4">
        <v>34</v>
      </c>
    </row>
    <row r="353" spans="1:18">
      <c r="A353" s="4" t="s">
        <v>808</v>
      </c>
      <c r="B353" s="4" t="s">
        <v>800</v>
      </c>
      <c r="C353" s="4" t="s">
        <v>91</v>
      </c>
      <c r="D353" s="27">
        <v>45233</v>
      </c>
      <c r="E353" s="4" t="s">
        <v>29</v>
      </c>
      <c r="F353" s="4" t="s">
        <v>21</v>
      </c>
      <c r="G353" s="4" t="s">
        <v>809</v>
      </c>
      <c r="H353" s="4" t="s">
        <v>31</v>
      </c>
      <c r="I353" s="4">
        <v>9</v>
      </c>
      <c r="J353" s="4" t="s">
        <v>58</v>
      </c>
      <c r="K353" s="4">
        <v>250</v>
      </c>
      <c r="L353" s="4">
        <v>4</v>
      </c>
      <c r="M353" s="4" t="s">
        <v>33</v>
      </c>
      <c r="N353" s="28">
        <v>0.0923167474212955</v>
      </c>
      <c r="O353" s="4" t="s">
        <v>42</v>
      </c>
      <c r="P353" s="4">
        <v>1000</v>
      </c>
      <c r="Q353" s="4">
        <v>908</v>
      </c>
      <c r="R353" s="4">
        <v>145</v>
      </c>
    </row>
    <row r="354" spans="1:18">
      <c r="A354" s="4" t="s">
        <v>810</v>
      </c>
      <c r="B354" s="4" t="s">
        <v>802</v>
      </c>
      <c r="C354" s="4" t="s">
        <v>146</v>
      </c>
      <c r="D354" s="27">
        <v>45260</v>
      </c>
      <c r="E354" s="4" t="s">
        <v>20</v>
      </c>
      <c r="F354" s="4" t="s">
        <v>21</v>
      </c>
      <c r="G354" s="4" t="s">
        <v>811</v>
      </c>
      <c r="H354" s="4" t="s">
        <v>40</v>
      </c>
      <c r="I354" s="4">
        <v>7</v>
      </c>
      <c r="J354" s="4" t="s">
        <v>63</v>
      </c>
      <c r="K354" s="4">
        <v>130</v>
      </c>
      <c r="L354" s="4">
        <v>7</v>
      </c>
      <c r="M354" s="4" t="s">
        <v>25</v>
      </c>
      <c r="N354" s="28">
        <v>0.349075422727062</v>
      </c>
      <c r="O354" s="4" t="s">
        <v>47</v>
      </c>
      <c r="P354" s="4">
        <v>910</v>
      </c>
      <c r="Q354" s="4">
        <v>592</v>
      </c>
      <c r="R354" s="4">
        <v>77</v>
      </c>
    </row>
    <row r="355" spans="1:18">
      <c r="A355" s="4" t="s">
        <v>812</v>
      </c>
      <c r="B355" s="4" t="s">
        <v>804</v>
      </c>
      <c r="C355" s="4" t="s">
        <v>149</v>
      </c>
      <c r="D355" s="27">
        <v>45241</v>
      </c>
      <c r="E355" s="4" t="s">
        <v>29</v>
      </c>
      <c r="F355" s="4" t="s">
        <v>21</v>
      </c>
      <c r="G355" s="4" t="s">
        <v>813</v>
      </c>
      <c r="H355" s="4" t="s">
        <v>23</v>
      </c>
      <c r="I355" s="4">
        <v>7</v>
      </c>
      <c r="J355" s="4" t="s">
        <v>67</v>
      </c>
      <c r="K355" s="4">
        <v>72</v>
      </c>
      <c r="L355" s="4">
        <v>4</v>
      </c>
      <c r="M355" s="4" t="s">
        <v>33</v>
      </c>
      <c r="N355" s="28">
        <v>0.900318235807166</v>
      </c>
      <c r="O355" s="4" t="s">
        <v>26</v>
      </c>
      <c r="P355" s="4">
        <v>288</v>
      </c>
      <c r="Q355" s="4">
        <v>29</v>
      </c>
      <c r="R355" s="4">
        <v>36</v>
      </c>
    </row>
    <row r="356" spans="1:18">
      <c r="A356" s="4" t="s">
        <v>814</v>
      </c>
      <c r="B356" s="4" t="s">
        <v>806</v>
      </c>
      <c r="C356" s="4" t="s">
        <v>171</v>
      </c>
      <c r="D356" s="27">
        <v>45252</v>
      </c>
      <c r="E356" s="4" t="s">
        <v>20</v>
      </c>
      <c r="F356" s="4" t="s">
        <v>21</v>
      </c>
      <c r="G356" s="4" t="s">
        <v>815</v>
      </c>
      <c r="H356" s="4" t="s">
        <v>31</v>
      </c>
      <c r="I356" s="4">
        <v>7</v>
      </c>
      <c r="J356" s="4" t="s">
        <v>71</v>
      </c>
      <c r="K356" s="4">
        <v>65</v>
      </c>
      <c r="L356" s="4">
        <v>5</v>
      </c>
      <c r="M356" s="4" t="s">
        <v>25</v>
      </c>
      <c r="N356" s="28">
        <v>0.180506927954627</v>
      </c>
      <c r="O356" s="4" t="s">
        <v>34</v>
      </c>
      <c r="P356" s="4">
        <v>325</v>
      </c>
      <c r="Q356" s="4">
        <v>266</v>
      </c>
      <c r="R356" s="4">
        <v>39</v>
      </c>
    </row>
    <row r="357" spans="1:18">
      <c r="A357" s="4" t="s">
        <v>816</v>
      </c>
      <c r="B357" s="4" t="s">
        <v>808</v>
      </c>
      <c r="C357" s="4" t="s">
        <v>316</v>
      </c>
      <c r="D357" s="27">
        <v>45256</v>
      </c>
      <c r="E357" s="4" t="s">
        <v>29</v>
      </c>
      <c r="F357" s="4" t="s">
        <v>21</v>
      </c>
      <c r="G357" s="4" t="s">
        <v>817</v>
      </c>
      <c r="H357" s="4" t="s">
        <v>40</v>
      </c>
      <c r="I357" s="4">
        <v>7</v>
      </c>
      <c r="J357" s="4" t="s">
        <v>75</v>
      </c>
      <c r="K357" s="4">
        <v>250</v>
      </c>
      <c r="L357" s="4">
        <v>1</v>
      </c>
      <c r="M357" s="4" t="s">
        <v>33</v>
      </c>
      <c r="N357" s="28">
        <v>0.0254450928200013</v>
      </c>
      <c r="O357" s="4" t="s">
        <v>42</v>
      </c>
      <c r="P357" s="4">
        <v>250</v>
      </c>
      <c r="Q357" s="4">
        <v>244</v>
      </c>
      <c r="R357" s="4">
        <v>160</v>
      </c>
    </row>
    <row r="358" spans="1:18">
      <c r="A358" s="4" t="s">
        <v>818</v>
      </c>
      <c r="B358" s="4" t="s">
        <v>810</v>
      </c>
      <c r="C358" s="4" t="s">
        <v>176</v>
      </c>
      <c r="D358" s="27">
        <v>45234</v>
      </c>
      <c r="E358" s="4" t="s">
        <v>37</v>
      </c>
      <c r="F358" s="4" t="s">
        <v>21</v>
      </c>
      <c r="G358" s="4" t="s">
        <v>819</v>
      </c>
      <c r="H358" s="4" t="s">
        <v>23</v>
      </c>
      <c r="I358" s="4">
        <v>8</v>
      </c>
      <c r="J358" s="4" t="s">
        <v>79</v>
      </c>
      <c r="K358" s="4">
        <v>130</v>
      </c>
      <c r="L358" s="4">
        <v>2</v>
      </c>
      <c r="M358" s="4" t="s">
        <v>25</v>
      </c>
      <c r="N358" s="28">
        <v>0.796437411427055</v>
      </c>
      <c r="O358" s="4" t="s">
        <v>47</v>
      </c>
      <c r="P358" s="4">
        <v>260</v>
      </c>
      <c r="Q358" s="4">
        <v>53</v>
      </c>
      <c r="R358" s="4">
        <v>57</v>
      </c>
    </row>
    <row r="359" spans="1:18">
      <c r="A359" s="4" t="s">
        <v>820</v>
      </c>
      <c r="B359" s="4" t="s">
        <v>812</v>
      </c>
      <c r="C359" s="4" t="s">
        <v>179</v>
      </c>
      <c r="D359" s="27">
        <v>45234</v>
      </c>
      <c r="E359" s="4" t="s">
        <v>20</v>
      </c>
      <c r="F359" s="4" t="s">
        <v>21</v>
      </c>
      <c r="G359" s="4" t="s">
        <v>821</v>
      </c>
      <c r="H359" s="4" t="s">
        <v>31</v>
      </c>
      <c r="I359" s="4">
        <v>10</v>
      </c>
      <c r="J359" s="4" t="s">
        <v>82</v>
      </c>
      <c r="K359" s="4">
        <v>60</v>
      </c>
      <c r="L359" s="4">
        <v>14</v>
      </c>
      <c r="M359" s="4" t="s">
        <v>33</v>
      </c>
      <c r="N359" s="28">
        <v>0.160772133598278</v>
      </c>
      <c r="O359" s="4" t="s">
        <v>68</v>
      </c>
      <c r="P359" s="4">
        <v>840</v>
      </c>
      <c r="Q359" s="4">
        <v>705</v>
      </c>
      <c r="R359" s="4">
        <v>39</v>
      </c>
    </row>
    <row r="360" spans="1:18">
      <c r="A360" s="4" t="s">
        <v>822</v>
      </c>
      <c r="B360" s="4" t="s">
        <v>814</v>
      </c>
      <c r="C360" s="4" t="s">
        <v>182</v>
      </c>
      <c r="D360" s="27">
        <v>45233</v>
      </c>
      <c r="E360" s="4" t="s">
        <v>29</v>
      </c>
      <c r="F360" s="4" t="s">
        <v>21</v>
      </c>
      <c r="G360" s="4" t="s">
        <v>823</v>
      </c>
      <c r="H360" s="4" t="s">
        <v>40</v>
      </c>
      <c r="I360" s="4">
        <v>10</v>
      </c>
      <c r="J360" s="4" t="s">
        <v>24</v>
      </c>
      <c r="K360" s="4">
        <v>95</v>
      </c>
      <c r="L360" s="4">
        <v>9</v>
      </c>
      <c r="M360" s="4" t="s">
        <v>25</v>
      </c>
      <c r="N360" s="28">
        <v>0.246938369788698</v>
      </c>
      <c r="O360" s="4" t="s">
        <v>104</v>
      </c>
      <c r="P360" s="4">
        <v>855</v>
      </c>
      <c r="Q360" s="4">
        <v>644</v>
      </c>
      <c r="R360" s="4">
        <v>39</v>
      </c>
    </row>
    <row r="361" spans="1:18">
      <c r="A361" s="4" t="s">
        <v>824</v>
      </c>
      <c r="B361" s="4" t="s">
        <v>816</v>
      </c>
      <c r="C361" s="4" t="s">
        <v>185</v>
      </c>
      <c r="D361" s="27">
        <v>45250</v>
      </c>
      <c r="E361" s="4" t="s">
        <v>29</v>
      </c>
      <c r="F361" s="4" t="s">
        <v>21</v>
      </c>
      <c r="G361" s="4" t="s">
        <v>825</v>
      </c>
      <c r="H361" s="4" t="s">
        <v>23</v>
      </c>
      <c r="I361" s="4">
        <v>10</v>
      </c>
      <c r="J361" s="4" t="s">
        <v>32</v>
      </c>
      <c r="K361" s="4">
        <v>72</v>
      </c>
      <c r="L361" s="4">
        <v>8</v>
      </c>
      <c r="M361" s="4" t="s">
        <v>33</v>
      </c>
      <c r="N361" s="28">
        <v>0.221482079467388</v>
      </c>
      <c r="O361" s="4" t="s">
        <v>26</v>
      </c>
      <c r="P361" s="4">
        <v>576</v>
      </c>
      <c r="Q361" s="4">
        <v>448</v>
      </c>
      <c r="R361" s="4">
        <v>19</v>
      </c>
    </row>
    <row r="362" spans="1:18">
      <c r="A362" s="4" t="s">
        <v>826</v>
      </c>
      <c r="B362" s="4" t="s">
        <v>818</v>
      </c>
      <c r="C362" s="4" t="s">
        <v>188</v>
      </c>
      <c r="D362" s="27">
        <v>45239</v>
      </c>
      <c r="E362" s="4" t="s">
        <v>20</v>
      </c>
      <c r="F362" s="4" t="s">
        <v>21</v>
      </c>
      <c r="G362" s="4" t="s">
        <v>827</v>
      </c>
      <c r="H362" s="4" t="s">
        <v>31</v>
      </c>
      <c r="I362" s="4">
        <v>10</v>
      </c>
      <c r="J362" s="4" t="s">
        <v>41</v>
      </c>
      <c r="K362" s="4">
        <v>65</v>
      </c>
      <c r="L362" s="4">
        <v>11</v>
      </c>
      <c r="M362" s="4" t="s">
        <v>25</v>
      </c>
      <c r="N362" s="28">
        <v>0.714588462309595</v>
      </c>
      <c r="O362" s="4" t="s">
        <v>34</v>
      </c>
      <c r="P362" s="4">
        <v>715</v>
      </c>
      <c r="Q362" s="4">
        <v>204</v>
      </c>
      <c r="R362" s="4">
        <v>33</v>
      </c>
    </row>
    <row r="363" spans="1:18">
      <c r="A363" s="4" t="s">
        <v>828</v>
      </c>
      <c r="B363" s="4" t="s">
        <v>820</v>
      </c>
      <c r="C363" s="4" t="s">
        <v>191</v>
      </c>
      <c r="D363" s="27">
        <v>45256</v>
      </c>
      <c r="E363" s="4" t="s">
        <v>29</v>
      </c>
      <c r="F363" s="4" t="s">
        <v>21</v>
      </c>
      <c r="G363" s="4" t="s">
        <v>829</v>
      </c>
      <c r="H363" s="4" t="s">
        <v>40</v>
      </c>
      <c r="I363" s="4">
        <v>8</v>
      </c>
      <c r="J363" s="4" t="s">
        <v>46</v>
      </c>
      <c r="K363" s="4">
        <v>250</v>
      </c>
      <c r="L363" s="4">
        <v>4</v>
      </c>
      <c r="M363" s="4" t="s">
        <v>33</v>
      </c>
      <c r="N363" s="28">
        <v>0.112866944889315</v>
      </c>
      <c r="O363" s="4" t="s">
        <v>42</v>
      </c>
      <c r="P363" s="4">
        <v>1000</v>
      </c>
      <c r="Q363" s="4">
        <v>887</v>
      </c>
      <c r="R363" s="4">
        <v>153</v>
      </c>
    </row>
    <row r="364" spans="1:18">
      <c r="A364" s="4" t="s">
        <v>830</v>
      </c>
      <c r="B364" s="4" t="s">
        <v>822</v>
      </c>
      <c r="C364" s="4" t="s">
        <v>114</v>
      </c>
      <c r="D364" s="27">
        <v>45249</v>
      </c>
      <c r="E364" s="4" t="s">
        <v>20</v>
      </c>
      <c r="F364" s="4" t="s">
        <v>21</v>
      </c>
      <c r="G364" s="4" t="s">
        <v>831</v>
      </c>
      <c r="H364" s="4" t="s">
        <v>23</v>
      </c>
      <c r="I364" s="4">
        <v>7</v>
      </c>
      <c r="J364" s="4" t="s">
        <v>51</v>
      </c>
      <c r="K364" s="4">
        <v>130</v>
      </c>
      <c r="L364" s="4">
        <v>6</v>
      </c>
      <c r="M364" s="4" t="s">
        <v>25</v>
      </c>
      <c r="N364" s="28">
        <v>0.0652835908288198</v>
      </c>
      <c r="O364" s="4" t="s">
        <v>47</v>
      </c>
      <c r="P364" s="4">
        <v>780</v>
      </c>
      <c r="Q364" s="4">
        <v>729</v>
      </c>
      <c r="R364" s="4">
        <v>47</v>
      </c>
    </row>
    <row r="365" spans="1:18">
      <c r="A365" s="4" t="s">
        <v>832</v>
      </c>
      <c r="B365" s="4" t="s">
        <v>824</v>
      </c>
      <c r="C365" s="4" t="s">
        <v>118</v>
      </c>
      <c r="D365" s="27">
        <v>45231</v>
      </c>
      <c r="E365" s="4" t="s">
        <v>29</v>
      </c>
      <c r="F365" s="4" t="s">
        <v>21</v>
      </c>
      <c r="G365" s="4" t="s">
        <v>833</v>
      </c>
      <c r="H365" s="4" t="s">
        <v>31</v>
      </c>
      <c r="I365" s="4">
        <v>7</v>
      </c>
      <c r="J365" s="4" t="s">
        <v>55</v>
      </c>
      <c r="K365" s="4">
        <v>72</v>
      </c>
      <c r="L365" s="4">
        <v>11</v>
      </c>
      <c r="M365" s="4" t="s">
        <v>33</v>
      </c>
      <c r="N365" s="28">
        <v>0.466817519983531</v>
      </c>
      <c r="O365" s="4" t="s">
        <v>26</v>
      </c>
      <c r="P365" s="4">
        <v>792</v>
      </c>
      <c r="Q365" s="4">
        <v>422</v>
      </c>
      <c r="R365" s="4">
        <v>43</v>
      </c>
    </row>
    <row r="366" spans="1:18">
      <c r="A366" s="4" t="s">
        <v>834</v>
      </c>
      <c r="B366" s="4" t="s">
        <v>826</v>
      </c>
      <c r="C366" s="4" t="s">
        <v>122</v>
      </c>
      <c r="D366" s="27">
        <v>45251</v>
      </c>
      <c r="E366" s="4" t="s">
        <v>29</v>
      </c>
      <c r="F366" s="4" t="s">
        <v>21</v>
      </c>
      <c r="G366" s="4" t="s">
        <v>835</v>
      </c>
      <c r="H366" s="4" t="s">
        <v>40</v>
      </c>
      <c r="I366" s="4">
        <v>9</v>
      </c>
      <c r="J366" s="4" t="s">
        <v>58</v>
      </c>
      <c r="K366" s="4">
        <v>65</v>
      </c>
      <c r="L366" s="4">
        <v>9</v>
      </c>
      <c r="M366" s="4" t="s">
        <v>25</v>
      </c>
      <c r="N366" s="28">
        <v>0.922027701542237</v>
      </c>
      <c r="O366" s="4" t="s">
        <v>34</v>
      </c>
      <c r="P366" s="4">
        <v>585</v>
      </c>
      <c r="Q366" s="4">
        <v>46</v>
      </c>
      <c r="R366" s="4">
        <v>33</v>
      </c>
    </row>
    <row r="367" spans="1:18">
      <c r="A367" s="4" t="s">
        <v>836</v>
      </c>
      <c r="B367" s="4" t="s">
        <v>828</v>
      </c>
      <c r="C367" s="4" t="s">
        <v>73</v>
      </c>
      <c r="D367" s="27">
        <v>45254</v>
      </c>
      <c r="E367" s="4" t="s">
        <v>20</v>
      </c>
      <c r="F367" s="4" t="s">
        <v>21</v>
      </c>
      <c r="G367" s="4" t="s">
        <v>837</v>
      </c>
      <c r="H367" s="4" t="s">
        <v>23</v>
      </c>
      <c r="I367" s="4">
        <v>8</v>
      </c>
      <c r="J367" s="4" t="s">
        <v>63</v>
      </c>
      <c r="K367" s="4">
        <v>250</v>
      </c>
      <c r="L367" s="4">
        <v>2</v>
      </c>
      <c r="M367" s="4" t="s">
        <v>33</v>
      </c>
      <c r="N367" s="28">
        <v>0.188404857537272</v>
      </c>
      <c r="O367" s="4" t="s">
        <v>42</v>
      </c>
      <c r="P367" s="4">
        <v>500</v>
      </c>
      <c r="Q367" s="4">
        <v>406</v>
      </c>
      <c r="R367" s="4">
        <v>135</v>
      </c>
    </row>
    <row r="368" spans="1:18">
      <c r="A368" s="4" t="s">
        <v>838</v>
      </c>
      <c r="B368" s="4" t="s">
        <v>830</v>
      </c>
      <c r="C368" s="4" t="s">
        <v>130</v>
      </c>
      <c r="D368" s="27">
        <v>45232</v>
      </c>
      <c r="E368" s="4" t="s">
        <v>29</v>
      </c>
      <c r="F368" s="4" t="s">
        <v>38</v>
      </c>
      <c r="G368" s="4" t="s">
        <v>839</v>
      </c>
      <c r="H368" s="4" t="s">
        <v>31</v>
      </c>
      <c r="I368" s="4">
        <v>8</v>
      </c>
      <c r="J368" s="4" t="s">
        <v>67</v>
      </c>
      <c r="K368" s="4">
        <v>130</v>
      </c>
      <c r="L368" s="4">
        <v>2</v>
      </c>
      <c r="M368" s="4" t="s">
        <v>33</v>
      </c>
      <c r="N368" s="28">
        <v>0.278470721372092</v>
      </c>
      <c r="O368" s="4" t="s">
        <v>47</v>
      </c>
      <c r="P368" s="4">
        <v>260</v>
      </c>
      <c r="Q368" s="4">
        <v>188</v>
      </c>
      <c r="R368" s="4">
        <v>73</v>
      </c>
    </row>
    <row r="369" spans="1:18">
      <c r="A369" s="4" t="s">
        <v>840</v>
      </c>
      <c r="B369" s="4" t="s">
        <v>832</v>
      </c>
      <c r="C369" s="4" t="s">
        <v>134</v>
      </c>
      <c r="D369" s="27">
        <v>45234</v>
      </c>
      <c r="E369" s="4" t="s">
        <v>29</v>
      </c>
      <c r="F369" s="4" t="s">
        <v>21</v>
      </c>
      <c r="G369" s="4" t="s">
        <v>841</v>
      </c>
      <c r="H369" s="4" t="s">
        <v>40</v>
      </c>
      <c r="I369" s="4">
        <v>7</v>
      </c>
      <c r="J369" s="4" t="s">
        <v>71</v>
      </c>
      <c r="K369" s="4">
        <v>72</v>
      </c>
      <c r="L369" s="4">
        <v>10</v>
      </c>
      <c r="M369" s="4" t="s">
        <v>33</v>
      </c>
      <c r="N369" s="28">
        <v>0.788842513764052</v>
      </c>
      <c r="O369" s="4" t="s">
        <v>26</v>
      </c>
      <c r="P369" s="4">
        <v>720</v>
      </c>
      <c r="Q369" s="4">
        <v>152</v>
      </c>
      <c r="R369" s="4">
        <v>37</v>
      </c>
    </row>
    <row r="370" spans="1:18">
      <c r="A370" s="4" t="s">
        <v>842</v>
      </c>
      <c r="B370" s="4" t="s">
        <v>834</v>
      </c>
      <c r="C370" s="4" t="s">
        <v>139</v>
      </c>
      <c r="D370" s="27">
        <v>45247</v>
      </c>
      <c r="E370" s="4" t="s">
        <v>20</v>
      </c>
      <c r="F370" s="4" t="s">
        <v>21</v>
      </c>
      <c r="G370" s="4" t="s">
        <v>843</v>
      </c>
      <c r="H370" s="4" t="s">
        <v>23</v>
      </c>
      <c r="I370" s="4">
        <v>8</v>
      </c>
      <c r="J370" s="4" t="s">
        <v>75</v>
      </c>
      <c r="K370" s="4">
        <v>65</v>
      </c>
      <c r="L370" s="4">
        <v>5</v>
      </c>
      <c r="M370" s="4" t="s">
        <v>33</v>
      </c>
      <c r="N370" s="28">
        <v>0.182991685488964</v>
      </c>
      <c r="O370" s="4" t="s">
        <v>34</v>
      </c>
      <c r="P370" s="4">
        <v>325</v>
      </c>
      <c r="Q370" s="4">
        <v>266</v>
      </c>
      <c r="R370" s="4">
        <v>23</v>
      </c>
    </row>
    <row r="371" spans="1:18">
      <c r="A371" s="4" t="s">
        <v>844</v>
      </c>
      <c r="B371" s="4" t="s">
        <v>836</v>
      </c>
      <c r="C371" s="4" t="s">
        <v>143</v>
      </c>
      <c r="D371" s="27">
        <v>45243</v>
      </c>
      <c r="E371" s="4" t="s">
        <v>29</v>
      </c>
      <c r="F371" s="4" t="s">
        <v>21</v>
      </c>
      <c r="G371" s="4" t="s">
        <v>845</v>
      </c>
      <c r="H371" s="4" t="s">
        <v>31</v>
      </c>
      <c r="I371" s="4">
        <v>8</v>
      </c>
      <c r="J371" s="4" t="s">
        <v>79</v>
      </c>
      <c r="K371" s="4">
        <v>250</v>
      </c>
      <c r="L371" s="4">
        <v>3</v>
      </c>
      <c r="M371" s="4" t="s">
        <v>33</v>
      </c>
      <c r="N371" s="28">
        <v>0.20591715888097</v>
      </c>
      <c r="O371" s="4" t="s">
        <v>42</v>
      </c>
      <c r="P371" s="4">
        <v>750</v>
      </c>
      <c r="Q371" s="4">
        <v>596</v>
      </c>
      <c r="R371" s="4">
        <v>140</v>
      </c>
    </row>
    <row r="372" spans="1:18">
      <c r="A372" s="4" t="s">
        <v>846</v>
      </c>
      <c r="B372" s="4" t="s">
        <v>838</v>
      </c>
      <c r="C372" s="4" t="s">
        <v>146</v>
      </c>
      <c r="D372" s="27">
        <v>45260</v>
      </c>
      <c r="E372" s="4" t="s">
        <v>20</v>
      </c>
      <c r="F372" s="4" t="s">
        <v>21</v>
      </c>
      <c r="G372" s="4" t="s">
        <v>847</v>
      </c>
      <c r="H372" s="4" t="s">
        <v>40</v>
      </c>
      <c r="I372" s="4">
        <v>9</v>
      </c>
      <c r="J372" s="4" t="s">
        <v>82</v>
      </c>
      <c r="K372" s="4">
        <v>130</v>
      </c>
      <c r="L372" s="4">
        <v>2</v>
      </c>
      <c r="M372" s="4" t="s">
        <v>25</v>
      </c>
      <c r="N372" s="28">
        <v>0.0212833983688794</v>
      </c>
      <c r="O372" s="4" t="s">
        <v>47</v>
      </c>
      <c r="P372" s="4">
        <v>260</v>
      </c>
      <c r="Q372" s="4">
        <v>254</v>
      </c>
      <c r="R372" s="4">
        <v>39</v>
      </c>
    </row>
    <row r="373" spans="1:18">
      <c r="A373" s="4" t="s">
        <v>848</v>
      </c>
      <c r="B373" s="4" t="s">
        <v>840</v>
      </c>
      <c r="C373" s="4" t="s">
        <v>149</v>
      </c>
      <c r="D373" s="27">
        <v>45251</v>
      </c>
      <c r="E373" s="4" t="s">
        <v>29</v>
      </c>
      <c r="F373" s="4" t="s">
        <v>21</v>
      </c>
      <c r="G373" s="4" t="s">
        <v>849</v>
      </c>
      <c r="H373" s="4" t="s">
        <v>23</v>
      </c>
      <c r="I373" s="4">
        <v>9</v>
      </c>
      <c r="J373" s="4" t="s">
        <v>24</v>
      </c>
      <c r="K373" s="4">
        <v>72</v>
      </c>
      <c r="L373" s="4">
        <v>4</v>
      </c>
      <c r="M373" s="4" t="s">
        <v>33</v>
      </c>
      <c r="N373" s="28">
        <v>0.0228068890195247</v>
      </c>
      <c r="O373" s="4" t="s">
        <v>26</v>
      </c>
      <c r="P373" s="4">
        <v>288</v>
      </c>
      <c r="Q373" s="4">
        <v>281</v>
      </c>
      <c r="R373" s="4">
        <v>33</v>
      </c>
    </row>
    <row r="374" spans="1:18">
      <c r="A374" s="4" t="s">
        <v>850</v>
      </c>
      <c r="B374" s="4" t="s">
        <v>842</v>
      </c>
      <c r="C374" s="4" t="s">
        <v>203</v>
      </c>
      <c r="D374" s="27">
        <v>45246</v>
      </c>
      <c r="E374" s="4" t="s">
        <v>20</v>
      </c>
      <c r="F374" s="4" t="s">
        <v>38</v>
      </c>
      <c r="G374" s="4" t="s">
        <v>851</v>
      </c>
      <c r="H374" s="4" t="s">
        <v>31</v>
      </c>
      <c r="I374" s="4">
        <v>8</v>
      </c>
      <c r="J374" s="4" t="s">
        <v>32</v>
      </c>
      <c r="K374" s="4">
        <v>65</v>
      </c>
      <c r="L374" s="4">
        <v>6</v>
      </c>
      <c r="M374" s="4" t="s">
        <v>25</v>
      </c>
      <c r="N374" s="28">
        <v>0.664482140304991</v>
      </c>
      <c r="O374" s="4" t="s">
        <v>34</v>
      </c>
      <c r="P374" s="4">
        <v>390</v>
      </c>
      <c r="Q374" s="4">
        <v>131</v>
      </c>
      <c r="R374" s="4">
        <v>33</v>
      </c>
    </row>
    <row r="375" spans="1:18">
      <c r="A375" s="4" t="s">
        <v>852</v>
      </c>
      <c r="B375" s="4" t="s">
        <v>844</v>
      </c>
      <c r="C375" s="4" t="s">
        <v>28</v>
      </c>
      <c r="D375" s="27">
        <v>45247</v>
      </c>
      <c r="E375" s="4" t="s">
        <v>29</v>
      </c>
      <c r="F375" s="4" t="s">
        <v>21</v>
      </c>
      <c r="G375" s="4" t="s">
        <v>853</v>
      </c>
      <c r="H375" s="4" t="s">
        <v>40</v>
      </c>
      <c r="I375" s="4">
        <v>8</v>
      </c>
      <c r="J375" s="4" t="s">
        <v>41</v>
      </c>
      <c r="K375" s="4">
        <v>250</v>
      </c>
      <c r="L375" s="4">
        <v>3</v>
      </c>
      <c r="M375" s="4" t="s">
        <v>33</v>
      </c>
      <c r="N375" s="28">
        <v>0.291519552492805</v>
      </c>
      <c r="O375" s="4" t="s">
        <v>42</v>
      </c>
      <c r="P375" s="4">
        <v>750</v>
      </c>
      <c r="Q375" s="4">
        <v>531</v>
      </c>
      <c r="R375" s="4">
        <v>85</v>
      </c>
    </row>
    <row r="376" spans="1:18">
      <c r="A376" s="4" t="s">
        <v>854</v>
      </c>
      <c r="B376" s="4" t="s">
        <v>846</v>
      </c>
      <c r="C376" s="4" t="s">
        <v>36</v>
      </c>
      <c r="D376" s="27">
        <v>45244</v>
      </c>
      <c r="E376" s="4" t="s">
        <v>37</v>
      </c>
      <c r="F376" s="4" t="s">
        <v>21</v>
      </c>
      <c r="G376" s="4" t="s">
        <v>855</v>
      </c>
      <c r="H376" s="4" t="s">
        <v>23</v>
      </c>
      <c r="I376" s="4">
        <v>7</v>
      </c>
      <c r="J376" s="4" t="s">
        <v>46</v>
      </c>
      <c r="K376" s="4">
        <v>130</v>
      </c>
      <c r="L376" s="4">
        <v>5</v>
      </c>
      <c r="M376" s="4" t="s">
        <v>25</v>
      </c>
      <c r="N376" s="28">
        <v>0.556840981103363</v>
      </c>
      <c r="O376" s="4" t="s">
        <v>47</v>
      </c>
      <c r="P376" s="4">
        <v>650</v>
      </c>
      <c r="Q376" s="4">
        <v>288</v>
      </c>
      <c r="R376" s="4">
        <v>40</v>
      </c>
    </row>
    <row r="377" spans="1:18">
      <c r="A377" s="4" t="s">
        <v>856</v>
      </c>
      <c r="B377" s="4" t="s">
        <v>848</v>
      </c>
      <c r="C377" s="4" t="s">
        <v>44</v>
      </c>
      <c r="D377" s="27">
        <v>45259</v>
      </c>
      <c r="E377" s="4" t="s">
        <v>20</v>
      </c>
      <c r="F377" s="4" t="s">
        <v>21</v>
      </c>
      <c r="G377" s="4" t="s">
        <v>857</v>
      </c>
      <c r="H377" s="4" t="s">
        <v>31</v>
      </c>
      <c r="I377" s="4">
        <v>8</v>
      </c>
      <c r="J377" s="4" t="s">
        <v>51</v>
      </c>
      <c r="K377" s="4">
        <v>60</v>
      </c>
      <c r="L377" s="4">
        <v>14</v>
      </c>
      <c r="M377" s="4" t="s">
        <v>33</v>
      </c>
      <c r="N377" s="28">
        <v>0.572405421440156</v>
      </c>
      <c r="O377" s="4" t="s">
        <v>68</v>
      </c>
      <c r="P377" s="4">
        <v>840</v>
      </c>
      <c r="Q377" s="4">
        <v>359</v>
      </c>
      <c r="R377" s="4">
        <v>33</v>
      </c>
    </row>
    <row r="378" spans="1:18">
      <c r="A378" s="4" t="s">
        <v>858</v>
      </c>
      <c r="B378" s="4" t="s">
        <v>850</v>
      </c>
      <c r="C378" s="4" t="s">
        <v>49</v>
      </c>
      <c r="D378" s="27">
        <v>45246</v>
      </c>
      <c r="E378" s="4" t="s">
        <v>29</v>
      </c>
      <c r="F378" s="4" t="s">
        <v>21</v>
      </c>
      <c r="G378" s="4" t="s">
        <v>859</v>
      </c>
      <c r="H378" s="4" t="s">
        <v>40</v>
      </c>
      <c r="I378" s="4">
        <v>9</v>
      </c>
      <c r="J378" s="4" t="s">
        <v>55</v>
      </c>
      <c r="K378" s="4">
        <v>72</v>
      </c>
      <c r="L378" s="4">
        <v>3</v>
      </c>
      <c r="M378" s="4" t="s">
        <v>25</v>
      </c>
      <c r="N378" s="28">
        <v>0.0862216431152117</v>
      </c>
      <c r="O378" s="4" t="s">
        <v>26</v>
      </c>
      <c r="P378" s="4">
        <v>216</v>
      </c>
      <c r="Q378" s="4">
        <v>197</v>
      </c>
      <c r="R378" s="4">
        <v>40</v>
      </c>
    </row>
    <row r="379" spans="1:18">
      <c r="A379" s="4" t="s">
        <v>860</v>
      </c>
      <c r="B379" s="4" t="s">
        <v>852</v>
      </c>
      <c r="C379" s="4" t="s">
        <v>53</v>
      </c>
      <c r="D379" s="27">
        <v>45260</v>
      </c>
      <c r="E379" s="4" t="s">
        <v>29</v>
      </c>
      <c r="F379" s="4" t="s">
        <v>21</v>
      </c>
      <c r="G379" s="4" t="s">
        <v>861</v>
      </c>
      <c r="H379" s="4" t="s">
        <v>23</v>
      </c>
      <c r="I379" s="4">
        <v>7</v>
      </c>
      <c r="J379" s="4" t="s">
        <v>58</v>
      </c>
      <c r="K379" s="4">
        <v>65</v>
      </c>
      <c r="L379" s="4">
        <v>10</v>
      </c>
      <c r="M379" s="4" t="s">
        <v>33</v>
      </c>
      <c r="N379" s="28">
        <v>0.956097186096616</v>
      </c>
      <c r="O379" s="4" t="s">
        <v>34</v>
      </c>
      <c r="P379" s="4">
        <v>650</v>
      </c>
      <c r="Q379" s="4">
        <v>29</v>
      </c>
      <c r="R379" s="4">
        <v>34</v>
      </c>
    </row>
    <row r="380" spans="1:18">
      <c r="A380" s="4" t="s">
        <v>862</v>
      </c>
      <c r="B380" s="4" t="s">
        <v>854</v>
      </c>
      <c r="C380" s="4" t="s">
        <v>61</v>
      </c>
      <c r="D380" s="27">
        <v>45238</v>
      </c>
      <c r="E380" s="4" t="s">
        <v>20</v>
      </c>
      <c r="F380" s="4" t="s">
        <v>21</v>
      </c>
      <c r="G380" s="4" t="s">
        <v>863</v>
      </c>
      <c r="H380" s="4" t="s">
        <v>31</v>
      </c>
      <c r="I380" s="4">
        <v>8</v>
      </c>
      <c r="J380" s="4" t="s">
        <v>63</v>
      </c>
      <c r="K380" s="4">
        <v>250</v>
      </c>
      <c r="L380" s="4">
        <v>2</v>
      </c>
      <c r="M380" s="4" t="s">
        <v>25</v>
      </c>
      <c r="N380" s="28">
        <v>0.245522376822209</v>
      </c>
      <c r="O380" s="4" t="s">
        <v>42</v>
      </c>
      <c r="P380" s="4">
        <v>500</v>
      </c>
      <c r="Q380" s="4">
        <v>377</v>
      </c>
      <c r="R380" s="4">
        <v>133</v>
      </c>
    </row>
    <row r="381" spans="1:18">
      <c r="A381" s="4" t="s">
        <v>864</v>
      </c>
      <c r="B381" s="4" t="s">
        <v>856</v>
      </c>
      <c r="C381" s="4" t="s">
        <v>61</v>
      </c>
      <c r="D381" s="27">
        <v>45246</v>
      </c>
      <c r="E381" s="4" t="s">
        <v>29</v>
      </c>
      <c r="F381" s="4" t="s">
        <v>21</v>
      </c>
      <c r="G381" s="4" t="s">
        <v>865</v>
      </c>
      <c r="H381" s="4" t="s">
        <v>40</v>
      </c>
      <c r="I381" s="4">
        <v>9</v>
      </c>
      <c r="J381" s="4" t="s">
        <v>67</v>
      </c>
      <c r="K381" s="4">
        <v>130</v>
      </c>
      <c r="L381" s="4">
        <v>7</v>
      </c>
      <c r="M381" s="4" t="s">
        <v>33</v>
      </c>
      <c r="N381" s="28">
        <v>0.566376326810807</v>
      </c>
      <c r="O381" s="4" t="s">
        <v>47</v>
      </c>
      <c r="P381" s="4">
        <v>910</v>
      </c>
      <c r="Q381" s="4">
        <v>395</v>
      </c>
      <c r="R381" s="4">
        <v>64</v>
      </c>
    </row>
    <row r="382" spans="1:18">
      <c r="A382" s="4" t="s">
        <v>866</v>
      </c>
      <c r="B382" s="4" t="s">
        <v>858</v>
      </c>
      <c r="C382" s="4" t="s">
        <v>65</v>
      </c>
      <c r="D382" s="27">
        <v>45251</v>
      </c>
      <c r="E382" s="4" t="s">
        <v>20</v>
      </c>
      <c r="F382" s="4" t="s">
        <v>21</v>
      </c>
      <c r="G382" s="4" t="s">
        <v>867</v>
      </c>
      <c r="H382" s="4" t="s">
        <v>23</v>
      </c>
      <c r="I382" s="4">
        <v>8</v>
      </c>
      <c r="J382" s="4" t="s">
        <v>71</v>
      </c>
      <c r="K382" s="4">
        <v>72</v>
      </c>
      <c r="L382" s="4">
        <v>11</v>
      </c>
      <c r="M382" s="4" t="s">
        <v>25</v>
      </c>
      <c r="N382" s="28">
        <v>0.0451798352199142</v>
      </c>
      <c r="O382" s="4" t="s">
        <v>26</v>
      </c>
      <c r="P382" s="4">
        <v>792</v>
      </c>
      <c r="Q382" s="4">
        <v>756</v>
      </c>
      <c r="R382" s="4">
        <v>28</v>
      </c>
    </row>
    <row r="383" spans="1:18">
      <c r="A383" s="4" t="s">
        <v>868</v>
      </c>
      <c r="B383" s="4" t="s">
        <v>860</v>
      </c>
      <c r="C383" s="4" t="s">
        <v>53</v>
      </c>
      <c r="D383" s="27">
        <v>45248</v>
      </c>
      <c r="E383" s="4" t="s">
        <v>29</v>
      </c>
      <c r="F383" s="4" t="s">
        <v>21</v>
      </c>
      <c r="G383" s="4" t="s">
        <v>869</v>
      </c>
      <c r="H383" s="4" t="s">
        <v>31</v>
      </c>
      <c r="I383" s="4">
        <v>7</v>
      </c>
      <c r="J383" s="4" t="s">
        <v>75</v>
      </c>
      <c r="K383" s="4">
        <v>65</v>
      </c>
      <c r="L383" s="4">
        <v>13</v>
      </c>
      <c r="M383" s="4" t="s">
        <v>33</v>
      </c>
      <c r="N383" s="28">
        <v>0.973455299243549</v>
      </c>
      <c r="O383" s="4" t="s">
        <v>34</v>
      </c>
      <c r="P383" s="4">
        <v>845</v>
      </c>
      <c r="Q383" s="4">
        <v>22</v>
      </c>
      <c r="R383" s="4">
        <v>17</v>
      </c>
    </row>
    <row r="384" spans="1:18">
      <c r="A384" s="4" t="s">
        <v>870</v>
      </c>
      <c r="B384" s="4" t="s">
        <v>862</v>
      </c>
      <c r="C384" s="4" t="s">
        <v>73</v>
      </c>
      <c r="D384" s="27">
        <v>45249</v>
      </c>
      <c r="E384" s="4" t="s">
        <v>29</v>
      </c>
      <c r="F384" s="4" t="s">
        <v>21</v>
      </c>
      <c r="G384" s="4" t="s">
        <v>871</v>
      </c>
      <c r="H384" s="4" t="s">
        <v>40</v>
      </c>
      <c r="I384" s="4">
        <v>10</v>
      </c>
      <c r="J384" s="4" t="s">
        <v>79</v>
      </c>
      <c r="K384" s="4">
        <v>250</v>
      </c>
      <c r="L384" s="4">
        <v>3</v>
      </c>
      <c r="M384" s="4" t="s">
        <v>25</v>
      </c>
      <c r="N384" s="28">
        <v>0.567333944191242</v>
      </c>
      <c r="O384" s="4" t="s">
        <v>42</v>
      </c>
      <c r="P384" s="4">
        <v>750</v>
      </c>
      <c r="Q384" s="4">
        <v>324</v>
      </c>
      <c r="R384" s="4">
        <v>88</v>
      </c>
    </row>
    <row r="385" spans="1:18">
      <c r="A385" s="4" t="s">
        <v>872</v>
      </c>
      <c r="B385" s="4" t="s">
        <v>864</v>
      </c>
      <c r="C385" s="4" t="s">
        <v>77</v>
      </c>
      <c r="D385" s="27">
        <v>45260</v>
      </c>
      <c r="E385" s="4" t="s">
        <v>20</v>
      </c>
      <c r="F385" s="4" t="s">
        <v>21</v>
      </c>
      <c r="G385" s="4" t="s">
        <v>873</v>
      </c>
      <c r="H385" s="4" t="s">
        <v>23</v>
      </c>
      <c r="I385" s="4">
        <v>7</v>
      </c>
      <c r="J385" s="4" t="s">
        <v>82</v>
      </c>
      <c r="K385" s="4">
        <v>130</v>
      </c>
      <c r="L385" s="4">
        <v>6</v>
      </c>
      <c r="M385" s="4" t="s">
        <v>33</v>
      </c>
      <c r="N385" s="28">
        <v>0.379284311497312</v>
      </c>
      <c r="O385" s="4" t="s">
        <v>47</v>
      </c>
      <c r="P385" s="4">
        <v>780</v>
      </c>
      <c r="Q385" s="4">
        <v>484</v>
      </c>
      <c r="R385" s="4">
        <v>82</v>
      </c>
    </row>
    <row r="386" spans="1:18">
      <c r="A386" s="4" t="s">
        <v>874</v>
      </c>
      <c r="B386" s="4" t="s">
        <v>866</v>
      </c>
      <c r="C386" s="4" t="s">
        <v>229</v>
      </c>
      <c r="D386" s="27">
        <v>45260</v>
      </c>
      <c r="E386" s="4" t="s">
        <v>29</v>
      </c>
      <c r="F386" s="4" t="s">
        <v>21</v>
      </c>
      <c r="G386" s="4" t="s">
        <v>875</v>
      </c>
      <c r="H386" s="4" t="s">
        <v>31</v>
      </c>
      <c r="I386" s="4">
        <v>8</v>
      </c>
      <c r="J386" s="4" t="s">
        <v>24</v>
      </c>
      <c r="K386" s="4">
        <v>60</v>
      </c>
      <c r="L386" s="4">
        <v>15</v>
      </c>
      <c r="M386" s="4" t="s">
        <v>25</v>
      </c>
      <c r="N386" s="28">
        <v>0.628659113305336</v>
      </c>
      <c r="O386" s="4" t="s">
        <v>68</v>
      </c>
      <c r="P386" s="4">
        <v>900</v>
      </c>
      <c r="Q386" s="4">
        <v>334</v>
      </c>
      <c r="R386" s="4">
        <v>38</v>
      </c>
    </row>
    <row r="387" spans="1:18">
      <c r="A387" s="4" t="s">
        <v>876</v>
      </c>
      <c r="B387" s="4" t="s">
        <v>868</v>
      </c>
      <c r="C387" s="4" t="s">
        <v>84</v>
      </c>
      <c r="D387" s="27">
        <v>45250</v>
      </c>
      <c r="E387" s="4" t="s">
        <v>29</v>
      </c>
      <c r="F387" s="4" t="s">
        <v>21</v>
      </c>
      <c r="G387" s="4" t="s">
        <v>877</v>
      </c>
      <c r="H387" s="4" t="s">
        <v>40</v>
      </c>
      <c r="I387" s="4">
        <v>7</v>
      </c>
      <c r="J387" s="4" t="s">
        <v>32</v>
      </c>
      <c r="K387" s="4">
        <v>95</v>
      </c>
      <c r="L387" s="4">
        <v>6</v>
      </c>
      <c r="M387" s="4" t="s">
        <v>33</v>
      </c>
      <c r="N387" s="28">
        <v>0.379379346103245</v>
      </c>
      <c r="O387" s="4" t="s">
        <v>104</v>
      </c>
      <c r="P387" s="4">
        <v>570</v>
      </c>
      <c r="Q387" s="4">
        <v>354</v>
      </c>
      <c r="R387" s="4">
        <v>27</v>
      </c>
    </row>
    <row r="388" spans="1:18">
      <c r="A388" s="4" t="s">
        <v>878</v>
      </c>
      <c r="B388" s="4" t="s">
        <v>870</v>
      </c>
      <c r="C388" s="4" t="s">
        <v>53</v>
      </c>
      <c r="D388" s="27">
        <v>45241</v>
      </c>
      <c r="E388" s="4" t="s">
        <v>20</v>
      </c>
      <c r="F388" s="4" t="s">
        <v>21</v>
      </c>
      <c r="G388" s="4" t="s">
        <v>879</v>
      </c>
      <c r="H388" s="4" t="s">
        <v>23</v>
      </c>
      <c r="I388" s="4">
        <v>9</v>
      </c>
      <c r="J388" s="4" t="s">
        <v>41</v>
      </c>
      <c r="K388" s="4">
        <v>72</v>
      </c>
      <c r="L388" s="4">
        <v>11</v>
      </c>
      <c r="M388" s="4" t="s">
        <v>25</v>
      </c>
      <c r="N388" s="28">
        <v>0.358915158669511</v>
      </c>
      <c r="O388" s="4" t="s">
        <v>26</v>
      </c>
      <c r="P388" s="4">
        <v>792</v>
      </c>
      <c r="Q388" s="4">
        <v>508</v>
      </c>
      <c r="R388" s="4">
        <v>22</v>
      </c>
    </row>
    <row r="389" spans="1:18">
      <c r="A389" s="4" t="s">
        <v>880</v>
      </c>
      <c r="B389" s="4" t="s">
        <v>872</v>
      </c>
      <c r="C389" s="4" t="s">
        <v>91</v>
      </c>
      <c r="D389" s="27">
        <v>45244</v>
      </c>
      <c r="E389" s="4" t="s">
        <v>29</v>
      </c>
      <c r="F389" s="4" t="s">
        <v>21</v>
      </c>
      <c r="G389" s="4" t="s">
        <v>881</v>
      </c>
      <c r="H389" s="4" t="s">
        <v>31</v>
      </c>
      <c r="I389" s="4">
        <v>8</v>
      </c>
      <c r="J389" s="4" t="s">
        <v>46</v>
      </c>
      <c r="K389" s="4">
        <v>65</v>
      </c>
      <c r="L389" s="4">
        <v>13</v>
      </c>
      <c r="M389" s="4" t="s">
        <v>33</v>
      </c>
      <c r="N389" s="28">
        <v>0.901223529160204</v>
      </c>
      <c r="O389" s="4" t="s">
        <v>34</v>
      </c>
      <c r="P389" s="4">
        <v>845</v>
      </c>
      <c r="Q389" s="4">
        <v>83</v>
      </c>
      <c r="R389" s="4">
        <v>25</v>
      </c>
    </row>
    <row r="390" spans="1:18">
      <c r="A390" s="4" t="s">
        <v>882</v>
      </c>
      <c r="B390" s="4" t="s">
        <v>874</v>
      </c>
      <c r="C390" s="4" t="s">
        <v>77</v>
      </c>
      <c r="D390" s="27">
        <v>45253</v>
      </c>
      <c r="E390" s="4" t="s">
        <v>20</v>
      </c>
      <c r="F390" s="4" t="s">
        <v>21</v>
      </c>
      <c r="G390" s="4" t="s">
        <v>883</v>
      </c>
      <c r="H390" s="4" t="s">
        <v>40</v>
      </c>
      <c r="I390" s="4">
        <v>9</v>
      </c>
      <c r="J390" s="4" t="s">
        <v>51</v>
      </c>
      <c r="K390" s="4">
        <v>250</v>
      </c>
      <c r="L390" s="4">
        <v>3</v>
      </c>
      <c r="M390" s="4" t="s">
        <v>33</v>
      </c>
      <c r="N390" s="28">
        <v>0.377865978777288</v>
      </c>
      <c r="O390" s="4" t="s">
        <v>42</v>
      </c>
      <c r="P390" s="4">
        <v>750</v>
      </c>
      <c r="Q390" s="4">
        <v>467</v>
      </c>
      <c r="R390" s="4">
        <v>145</v>
      </c>
    </row>
    <row r="391" spans="1:18">
      <c r="A391" s="4" t="s">
        <v>884</v>
      </c>
      <c r="B391" s="4" t="s">
        <v>876</v>
      </c>
      <c r="C391" s="4" t="s">
        <v>49</v>
      </c>
      <c r="D391" s="27">
        <v>45241</v>
      </c>
      <c r="E391" s="4" t="s">
        <v>29</v>
      </c>
      <c r="F391" s="4" t="s">
        <v>21</v>
      </c>
      <c r="G391" s="4" t="s">
        <v>885</v>
      </c>
      <c r="H391" s="4" t="s">
        <v>23</v>
      </c>
      <c r="I391" s="4">
        <v>9</v>
      </c>
      <c r="J391" s="4" t="s">
        <v>55</v>
      </c>
      <c r="K391" s="4">
        <v>130</v>
      </c>
      <c r="L391" s="4">
        <v>3</v>
      </c>
      <c r="M391" s="4" t="s">
        <v>33</v>
      </c>
      <c r="N391" s="28">
        <v>0.389134454533387</v>
      </c>
      <c r="O391" s="4" t="s">
        <v>47</v>
      </c>
      <c r="P391" s="4">
        <v>390</v>
      </c>
      <c r="Q391" s="4">
        <v>238</v>
      </c>
      <c r="R391" s="4">
        <v>52</v>
      </c>
    </row>
    <row r="392" spans="1:18">
      <c r="A392" s="4" t="s">
        <v>886</v>
      </c>
      <c r="B392" s="4" t="s">
        <v>878</v>
      </c>
      <c r="C392" s="4" t="s">
        <v>101</v>
      </c>
      <c r="D392" s="27">
        <v>45254</v>
      </c>
      <c r="E392" s="4" t="s">
        <v>20</v>
      </c>
      <c r="F392" s="4" t="s">
        <v>21</v>
      </c>
      <c r="G392" s="4" t="s">
        <v>887</v>
      </c>
      <c r="H392" s="4" t="s">
        <v>31</v>
      </c>
      <c r="I392" s="4">
        <v>9</v>
      </c>
      <c r="J392" s="4" t="s">
        <v>58</v>
      </c>
      <c r="K392" s="4">
        <v>72</v>
      </c>
      <c r="L392" s="4">
        <v>12</v>
      </c>
      <c r="M392" s="4" t="s">
        <v>33</v>
      </c>
      <c r="N392" s="28">
        <v>0.607146677243405</v>
      </c>
      <c r="O392" s="4" t="s">
        <v>26</v>
      </c>
      <c r="P392" s="4">
        <v>864</v>
      </c>
      <c r="Q392" s="4">
        <v>339</v>
      </c>
      <c r="R392" s="4">
        <v>38</v>
      </c>
    </row>
    <row r="393" spans="1:18">
      <c r="A393" s="4" t="s">
        <v>888</v>
      </c>
      <c r="B393" s="4" t="s">
        <v>880</v>
      </c>
      <c r="C393" s="4" t="s">
        <v>106</v>
      </c>
      <c r="D393" s="27">
        <v>45245</v>
      </c>
      <c r="E393" s="4" t="s">
        <v>29</v>
      </c>
      <c r="F393" s="4" t="s">
        <v>21</v>
      </c>
      <c r="G393" s="4" t="s">
        <v>889</v>
      </c>
      <c r="H393" s="4" t="s">
        <v>40</v>
      </c>
      <c r="I393" s="4">
        <v>9</v>
      </c>
      <c r="J393" s="4" t="s">
        <v>63</v>
      </c>
      <c r="K393" s="4">
        <v>65</v>
      </c>
      <c r="L393" s="4">
        <v>8</v>
      </c>
      <c r="M393" s="4" t="s">
        <v>33</v>
      </c>
      <c r="N393" s="28">
        <v>0.172611635137102</v>
      </c>
      <c r="O393" s="4" t="s">
        <v>34</v>
      </c>
      <c r="P393" s="4">
        <v>520</v>
      </c>
      <c r="Q393" s="4">
        <v>430</v>
      </c>
      <c r="R393" s="4">
        <v>31</v>
      </c>
    </row>
    <row r="394" spans="1:18">
      <c r="A394" s="4" t="s">
        <v>890</v>
      </c>
      <c r="B394" s="4" t="s">
        <v>882</v>
      </c>
      <c r="C394" s="4" t="s">
        <v>110</v>
      </c>
      <c r="D394" s="27">
        <v>45235</v>
      </c>
      <c r="E394" s="4" t="s">
        <v>37</v>
      </c>
      <c r="F394" s="4" t="s">
        <v>21</v>
      </c>
      <c r="G394" s="4" t="s">
        <v>891</v>
      </c>
      <c r="H394" s="4" t="s">
        <v>23</v>
      </c>
      <c r="I394" s="4">
        <v>9</v>
      </c>
      <c r="J394" s="4" t="s">
        <v>67</v>
      </c>
      <c r="K394" s="4">
        <v>250</v>
      </c>
      <c r="L394" s="4">
        <v>1</v>
      </c>
      <c r="M394" s="4" t="s">
        <v>25</v>
      </c>
      <c r="N394" s="28">
        <v>0.0344515664769515</v>
      </c>
      <c r="O394" s="4" t="s">
        <v>42</v>
      </c>
      <c r="P394" s="4">
        <v>250</v>
      </c>
      <c r="Q394" s="4">
        <v>241</v>
      </c>
      <c r="R394" s="4">
        <v>113</v>
      </c>
    </row>
    <row r="395" spans="1:18">
      <c r="A395" s="4" t="s">
        <v>892</v>
      </c>
      <c r="B395" s="4" t="s">
        <v>884</v>
      </c>
      <c r="C395" s="4" t="s">
        <v>73</v>
      </c>
      <c r="D395" s="27">
        <v>45254</v>
      </c>
      <c r="E395" s="4" t="s">
        <v>20</v>
      </c>
      <c r="F395" s="4" t="s">
        <v>21</v>
      </c>
      <c r="G395" s="4" t="s">
        <v>893</v>
      </c>
      <c r="H395" s="4" t="s">
        <v>31</v>
      </c>
      <c r="I395" s="4">
        <v>8</v>
      </c>
      <c r="J395" s="4" t="s">
        <v>71</v>
      </c>
      <c r="K395" s="4">
        <v>130</v>
      </c>
      <c r="L395" s="4">
        <v>4</v>
      </c>
      <c r="M395" s="4" t="s">
        <v>33</v>
      </c>
      <c r="N395" s="28">
        <v>0.366008215522148</v>
      </c>
      <c r="O395" s="4" t="s">
        <v>47</v>
      </c>
      <c r="P395" s="4">
        <v>520</v>
      </c>
      <c r="Q395" s="4">
        <v>330</v>
      </c>
      <c r="R395" s="4">
        <v>75</v>
      </c>
    </row>
    <row r="396" spans="1:18">
      <c r="A396" s="4" t="s">
        <v>894</v>
      </c>
      <c r="B396" s="4" t="s">
        <v>886</v>
      </c>
      <c r="C396" s="4" t="s">
        <v>118</v>
      </c>
      <c r="D396" s="27">
        <v>45231</v>
      </c>
      <c r="E396" s="4" t="s">
        <v>29</v>
      </c>
      <c r="F396" s="4" t="s">
        <v>38</v>
      </c>
      <c r="G396" s="4" t="s">
        <v>895</v>
      </c>
      <c r="H396" s="4" t="s">
        <v>40</v>
      </c>
      <c r="I396" s="4">
        <v>8</v>
      </c>
      <c r="J396" s="4" t="s">
        <v>75</v>
      </c>
      <c r="K396" s="4">
        <v>60</v>
      </c>
      <c r="L396" s="4">
        <v>4</v>
      </c>
      <c r="M396" s="4" t="s">
        <v>25</v>
      </c>
      <c r="N396" s="28">
        <v>0.368763047973245</v>
      </c>
      <c r="O396" s="4" t="s">
        <v>68</v>
      </c>
      <c r="P396" s="4">
        <v>240</v>
      </c>
      <c r="Q396" s="4">
        <v>151</v>
      </c>
      <c r="R396" s="4">
        <v>25</v>
      </c>
    </row>
    <row r="397" spans="1:18">
      <c r="A397" s="4" t="s">
        <v>896</v>
      </c>
      <c r="B397" s="4" t="s">
        <v>888</v>
      </c>
      <c r="C397" s="4" t="s">
        <v>122</v>
      </c>
      <c r="D397" s="27">
        <v>45241</v>
      </c>
      <c r="E397" s="4" t="s">
        <v>29</v>
      </c>
      <c r="F397" s="4" t="s">
        <v>21</v>
      </c>
      <c r="G397" s="4" t="s">
        <v>897</v>
      </c>
      <c r="H397" s="4" t="s">
        <v>23</v>
      </c>
      <c r="I397" s="4">
        <v>7</v>
      </c>
      <c r="J397" s="4" t="s">
        <v>79</v>
      </c>
      <c r="K397" s="4">
        <v>72</v>
      </c>
      <c r="L397" s="4">
        <v>12</v>
      </c>
      <c r="M397" s="4" t="s">
        <v>33</v>
      </c>
      <c r="N397" s="28">
        <v>0.784915258620603</v>
      </c>
      <c r="O397" s="4" t="s">
        <v>26</v>
      </c>
      <c r="P397" s="4">
        <v>864</v>
      </c>
      <c r="Q397" s="4">
        <v>186</v>
      </c>
      <c r="R397" s="4">
        <v>38</v>
      </c>
    </row>
    <row r="398" spans="1:18">
      <c r="A398" s="4" t="s">
        <v>898</v>
      </c>
      <c r="B398" s="4" t="s">
        <v>890</v>
      </c>
      <c r="C398" s="4" t="s">
        <v>126</v>
      </c>
      <c r="D398" s="27">
        <v>45237</v>
      </c>
      <c r="E398" s="4" t="s">
        <v>20</v>
      </c>
      <c r="F398" s="4" t="s">
        <v>21</v>
      </c>
      <c r="G398" s="4" t="s">
        <v>899</v>
      </c>
      <c r="H398" s="4" t="s">
        <v>31</v>
      </c>
      <c r="I398" s="4">
        <v>7</v>
      </c>
      <c r="J398" s="4" t="s">
        <v>82</v>
      </c>
      <c r="K398" s="4">
        <v>65</v>
      </c>
      <c r="L398" s="4">
        <v>4</v>
      </c>
      <c r="M398" s="4" t="s">
        <v>25</v>
      </c>
      <c r="N398" s="28">
        <v>0.894331545558429</v>
      </c>
      <c r="O398" s="4" t="s">
        <v>34</v>
      </c>
      <c r="P398" s="4">
        <v>260</v>
      </c>
      <c r="Q398" s="4">
        <v>27</v>
      </c>
      <c r="R398" s="4">
        <v>21</v>
      </c>
    </row>
    <row r="399" spans="1:18">
      <c r="A399" s="4" t="s">
        <v>900</v>
      </c>
      <c r="B399" s="4" t="s">
        <v>892</v>
      </c>
      <c r="C399" s="4" t="s">
        <v>130</v>
      </c>
      <c r="D399" s="27">
        <v>45240</v>
      </c>
      <c r="E399" s="4" t="s">
        <v>29</v>
      </c>
      <c r="F399" s="4" t="s">
        <v>21</v>
      </c>
      <c r="G399" s="4" t="s">
        <v>901</v>
      </c>
      <c r="H399" s="4" t="s">
        <v>40</v>
      </c>
      <c r="I399" s="4">
        <v>9</v>
      </c>
      <c r="J399" s="4" t="s">
        <v>24</v>
      </c>
      <c r="K399" s="4">
        <v>250</v>
      </c>
      <c r="L399" s="4">
        <v>1</v>
      </c>
      <c r="M399" s="4" t="s">
        <v>33</v>
      </c>
      <c r="N399" s="28">
        <v>0.544943106679383</v>
      </c>
      <c r="O399" s="4" t="s">
        <v>42</v>
      </c>
      <c r="P399" s="4">
        <v>250</v>
      </c>
      <c r="Q399" s="4">
        <v>114</v>
      </c>
      <c r="R399" s="4">
        <v>153</v>
      </c>
    </row>
    <row r="400" spans="1:18">
      <c r="A400" s="4" t="s">
        <v>902</v>
      </c>
      <c r="B400" s="4" t="s">
        <v>894</v>
      </c>
      <c r="C400" s="4" t="s">
        <v>134</v>
      </c>
      <c r="D400" s="27">
        <v>45234</v>
      </c>
      <c r="E400" s="4" t="s">
        <v>20</v>
      </c>
      <c r="F400" s="4" t="s">
        <v>21</v>
      </c>
      <c r="G400" s="4" t="s">
        <v>903</v>
      </c>
      <c r="H400" s="4" t="s">
        <v>23</v>
      </c>
      <c r="I400" s="4">
        <v>8</v>
      </c>
      <c r="J400" s="4" t="s">
        <v>32</v>
      </c>
      <c r="K400" s="4">
        <v>130</v>
      </c>
      <c r="L400" s="4">
        <v>7</v>
      </c>
      <c r="M400" s="4" t="s">
        <v>25</v>
      </c>
      <c r="N400" s="28">
        <v>0.844432094245137</v>
      </c>
      <c r="O400" s="4" t="s">
        <v>47</v>
      </c>
      <c r="P400" s="4">
        <v>910</v>
      </c>
      <c r="Q400" s="4">
        <v>142</v>
      </c>
      <c r="R400" s="4">
        <v>43</v>
      </c>
    </row>
    <row r="401" spans="1:18">
      <c r="A401" s="4" t="s">
        <v>904</v>
      </c>
      <c r="B401" s="4" t="s">
        <v>896</v>
      </c>
      <c r="C401" s="4" t="s">
        <v>139</v>
      </c>
      <c r="D401" s="27">
        <v>45234</v>
      </c>
      <c r="E401" s="4" t="s">
        <v>29</v>
      </c>
      <c r="F401" s="4" t="s">
        <v>21</v>
      </c>
      <c r="G401" s="4" t="s">
        <v>905</v>
      </c>
      <c r="H401" s="4" t="s">
        <v>23</v>
      </c>
      <c r="I401" s="4">
        <v>8</v>
      </c>
      <c r="J401" s="4" t="s">
        <v>41</v>
      </c>
      <c r="K401" s="4">
        <v>72</v>
      </c>
      <c r="L401" s="4">
        <v>7</v>
      </c>
      <c r="M401" s="4" t="s">
        <v>33</v>
      </c>
      <c r="N401" s="28">
        <v>0.110840778780581</v>
      </c>
      <c r="O401" s="4" t="s">
        <v>26</v>
      </c>
      <c r="P401" s="4">
        <v>504</v>
      </c>
      <c r="Q401" s="4">
        <v>448</v>
      </c>
      <c r="R401" s="4">
        <v>42</v>
      </c>
    </row>
    <row r="402" spans="1:18">
      <c r="A402" s="4" t="s">
        <v>906</v>
      </c>
      <c r="B402" s="4" t="s">
        <v>898</v>
      </c>
      <c r="C402" s="4" t="s">
        <v>143</v>
      </c>
      <c r="D402" s="27">
        <v>45256</v>
      </c>
      <c r="E402" s="4" t="s">
        <v>29</v>
      </c>
      <c r="F402" s="4" t="s">
        <v>38</v>
      </c>
      <c r="G402" s="4" t="s">
        <v>907</v>
      </c>
      <c r="H402" s="4" t="s">
        <v>23</v>
      </c>
      <c r="I402" s="4">
        <v>10</v>
      </c>
      <c r="J402" s="4" t="s">
        <v>46</v>
      </c>
      <c r="K402" s="4">
        <v>65</v>
      </c>
      <c r="L402" s="4">
        <v>9</v>
      </c>
      <c r="M402" s="4" t="s">
        <v>25</v>
      </c>
      <c r="N402" s="28">
        <v>0.266303129202918</v>
      </c>
      <c r="O402" s="4" t="s">
        <v>34</v>
      </c>
      <c r="P402" s="4">
        <v>585</v>
      </c>
      <c r="Q402" s="4">
        <v>429</v>
      </c>
      <c r="R402" s="4">
        <v>34</v>
      </c>
    </row>
    <row r="403" spans="1:18">
      <c r="A403" s="4" t="s">
        <v>908</v>
      </c>
      <c r="B403" s="4" t="s">
        <v>900</v>
      </c>
      <c r="C403" s="4" t="s">
        <v>146</v>
      </c>
      <c r="D403" s="27">
        <v>45251</v>
      </c>
      <c r="E403" s="4" t="s">
        <v>20</v>
      </c>
      <c r="F403" s="4" t="s">
        <v>21</v>
      </c>
      <c r="G403" s="4" t="s">
        <v>909</v>
      </c>
      <c r="H403" s="4" t="s">
        <v>31</v>
      </c>
      <c r="I403" s="4">
        <v>8</v>
      </c>
      <c r="J403" s="4" t="s">
        <v>51</v>
      </c>
      <c r="K403" s="4">
        <v>250</v>
      </c>
      <c r="L403" s="4">
        <v>3</v>
      </c>
      <c r="M403" s="4" t="s">
        <v>33</v>
      </c>
      <c r="N403" s="28">
        <v>0.132791617874201</v>
      </c>
      <c r="O403" s="4" t="s">
        <v>42</v>
      </c>
      <c r="P403" s="4">
        <v>750</v>
      </c>
      <c r="Q403" s="4">
        <v>650</v>
      </c>
      <c r="R403" s="4">
        <v>105</v>
      </c>
    </row>
    <row r="404" spans="1:18">
      <c r="A404" s="4" t="s">
        <v>910</v>
      </c>
      <c r="B404" s="4" t="s">
        <v>902</v>
      </c>
      <c r="C404" s="4" t="s">
        <v>149</v>
      </c>
      <c r="D404" s="27">
        <v>45256</v>
      </c>
      <c r="E404" s="4" t="s">
        <v>29</v>
      </c>
      <c r="F404" s="4" t="s">
        <v>21</v>
      </c>
      <c r="G404" s="4" t="s">
        <v>911</v>
      </c>
      <c r="H404" s="4" t="s">
        <v>40</v>
      </c>
      <c r="I404" s="4">
        <v>8</v>
      </c>
      <c r="J404" s="4" t="s">
        <v>55</v>
      </c>
      <c r="K404" s="4">
        <v>130</v>
      </c>
      <c r="L404" s="4">
        <v>4</v>
      </c>
      <c r="M404" s="4" t="s">
        <v>25</v>
      </c>
      <c r="N404" s="28">
        <v>0.207944780041291</v>
      </c>
      <c r="O404" s="4" t="s">
        <v>47</v>
      </c>
      <c r="P404" s="4">
        <v>520</v>
      </c>
      <c r="Q404" s="4">
        <v>412</v>
      </c>
      <c r="R404" s="4">
        <v>61</v>
      </c>
    </row>
    <row r="405" spans="1:18">
      <c r="A405" s="4" t="s">
        <v>912</v>
      </c>
      <c r="B405" s="4" t="s">
        <v>904</v>
      </c>
      <c r="C405" s="4" t="s">
        <v>152</v>
      </c>
      <c r="D405" s="27">
        <v>45245</v>
      </c>
      <c r="E405" s="4" t="s">
        <v>29</v>
      </c>
      <c r="F405" s="4" t="s">
        <v>21</v>
      </c>
      <c r="G405" s="4" t="s">
        <v>913</v>
      </c>
      <c r="H405" s="4" t="s">
        <v>23</v>
      </c>
      <c r="I405" s="4">
        <v>8</v>
      </c>
      <c r="J405" s="4" t="s">
        <v>58</v>
      </c>
      <c r="K405" s="4">
        <v>60</v>
      </c>
      <c r="L405" s="4">
        <v>12</v>
      </c>
      <c r="M405" s="4" t="s">
        <v>33</v>
      </c>
      <c r="N405" s="28">
        <v>0.76031378549826</v>
      </c>
      <c r="O405" s="4" t="s">
        <v>68</v>
      </c>
      <c r="P405" s="4">
        <v>720</v>
      </c>
      <c r="Q405" s="4">
        <v>173</v>
      </c>
      <c r="R405" s="4">
        <v>32</v>
      </c>
    </row>
    <row r="406" spans="1:18">
      <c r="A406" s="4" t="s">
        <v>914</v>
      </c>
      <c r="B406" s="4" t="s">
        <v>906</v>
      </c>
      <c r="C406" s="4" t="s">
        <v>84</v>
      </c>
      <c r="D406" s="27">
        <v>45238</v>
      </c>
      <c r="E406" s="4" t="s">
        <v>20</v>
      </c>
      <c r="F406" s="4" t="s">
        <v>21</v>
      </c>
      <c r="G406" s="4" t="s">
        <v>915</v>
      </c>
      <c r="H406" s="4" t="s">
        <v>31</v>
      </c>
      <c r="I406" s="4">
        <v>8</v>
      </c>
      <c r="J406" s="4" t="s">
        <v>63</v>
      </c>
      <c r="K406" s="4">
        <v>95</v>
      </c>
      <c r="L406" s="4">
        <v>8</v>
      </c>
      <c r="M406" s="4" t="s">
        <v>25</v>
      </c>
      <c r="N406" s="28">
        <v>0.238046412551698</v>
      </c>
      <c r="O406" s="4" t="s">
        <v>104</v>
      </c>
      <c r="P406" s="4">
        <v>760</v>
      </c>
      <c r="Q406" s="4">
        <v>579</v>
      </c>
      <c r="R406" s="4">
        <v>41</v>
      </c>
    </row>
    <row r="407" spans="1:18">
      <c r="A407" s="4" t="s">
        <v>916</v>
      </c>
      <c r="B407" s="4" t="s">
        <v>908</v>
      </c>
      <c r="C407" s="4" t="s">
        <v>118</v>
      </c>
      <c r="D407" s="27">
        <v>45235</v>
      </c>
      <c r="E407" s="4" t="s">
        <v>29</v>
      </c>
      <c r="F407" s="4" t="s">
        <v>21</v>
      </c>
      <c r="G407" s="4" t="s">
        <v>917</v>
      </c>
      <c r="H407" s="4" t="s">
        <v>40</v>
      </c>
      <c r="I407" s="4">
        <v>7</v>
      </c>
      <c r="J407" s="4" t="s">
        <v>67</v>
      </c>
      <c r="K407" s="4">
        <v>72</v>
      </c>
      <c r="L407" s="4">
        <v>5</v>
      </c>
      <c r="M407" s="4" t="s">
        <v>33</v>
      </c>
      <c r="N407" s="28">
        <v>0.125236893699367</v>
      </c>
      <c r="O407" s="4" t="s">
        <v>26</v>
      </c>
      <c r="P407" s="4">
        <v>360</v>
      </c>
      <c r="Q407" s="4">
        <v>315</v>
      </c>
      <c r="R407" s="4">
        <v>43</v>
      </c>
    </row>
    <row r="408" spans="1:18">
      <c r="A408" s="4" t="s">
        <v>918</v>
      </c>
      <c r="B408" s="4" t="s">
        <v>910</v>
      </c>
      <c r="C408" s="4" t="s">
        <v>139</v>
      </c>
      <c r="D408" s="27">
        <v>45250</v>
      </c>
      <c r="E408" s="4" t="s">
        <v>20</v>
      </c>
      <c r="F408" s="4" t="s">
        <v>21</v>
      </c>
      <c r="G408" s="4" t="s">
        <v>919</v>
      </c>
      <c r="H408" s="4" t="s">
        <v>23</v>
      </c>
      <c r="I408" s="4">
        <v>7</v>
      </c>
      <c r="J408" s="4" t="s">
        <v>71</v>
      </c>
      <c r="K408" s="4">
        <v>65</v>
      </c>
      <c r="L408" s="4">
        <v>4</v>
      </c>
      <c r="M408" s="4" t="s">
        <v>25</v>
      </c>
      <c r="N408" s="28">
        <v>0.0671017463583271</v>
      </c>
      <c r="O408" s="4" t="s">
        <v>34</v>
      </c>
      <c r="P408" s="4">
        <v>260</v>
      </c>
      <c r="Q408" s="4">
        <v>243</v>
      </c>
      <c r="R408" s="4">
        <v>42</v>
      </c>
    </row>
    <row r="409" spans="1:18">
      <c r="A409" s="4" t="s">
        <v>920</v>
      </c>
      <c r="B409" s="4" t="s">
        <v>912</v>
      </c>
      <c r="C409" s="4" t="s">
        <v>49</v>
      </c>
      <c r="D409" s="27">
        <v>45248</v>
      </c>
      <c r="E409" s="4" t="s">
        <v>29</v>
      </c>
      <c r="F409" s="4" t="s">
        <v>21</v>
      </c>
      <c r="G409" s="4" t="s">
        <v>921</v>
      </c>
      <c r="H409" s="4" t="s">
        <v>31</v>
      </c>
      <c r="I409" s="4">
        <v>9</v>
      </c>
      <c r="J409" s="4" t="s">
        <v>75</v>
      </c>
      <c r="K409" s="4">
        <v>250</v>
      </c>
      <c r="L409" s="4">
        <v>2</v>
      </c>
      <c r="M409" s="4" t="s">
        <v>33</v>
      </c>
      <c r="N409" s="28">
        <v>0.989706171239065</v>
      </c>
      <c r="O409" s="4" t="s">
        <v>42</v>
      </c>
      <c r="P409" s="4">
        <v>500</v>
      </c>
      <c r="Q409" s="4">
        <v>5</v>
      </c>
      <c r="R409" s="4">
        <v>85</v>
      </c>
    </row>
    <row r="410" spans="1:18">
      <c r="A410" s="4" t="s">
        <v>922</v>
      </c>
      <c r="B410" s="4" t="s">
        <v>914</v>
      </c>
      <c r="C410" s="4" t="s">
        <v>91</v>
      </c>
      <c r="D410" s="27">
        <v>45252</v>
      </c>
      <c r="E410" s="4" t="s">
        <v>20</v>
      </c>
      <c r="F410" s="4" t="s">
        <v>21</v>
      </c>
      <c r="G410" s="4" t="s">
        <v>923</v>
      </c>
      <c r="H410" s="4" t="s">
        <v>40</v>
      </c>
      <c r="I410" s="4">
        <v>7</v>
      </c>
      <c r="J410" s="4" t="s">
        <v>79</v>
      </c>
      <c r="K410" s="4">
        <v>130</v>
      </c>
      <c r="L410" s="4">
        <v>2</v>
      </c>
      <c r="M410" s="4" t="s">
        <v>25</v>
      </c>
      <c r="N410" s="28">
        <v>0.262026791851751</v>
      </c>
      <c r="O410" s="4" t="s">
        <v>47</v>
      </c>
      <c r="P410" s="4">
        <v>260</v>
      </c>
      <c r="Q410" s="4">
        <v>192</v>
      </c>
      <c r="R410" s="4">
        <v>74</v>
      </c>
    </row>
    <row r="411" spans="1:18">
      <c r="A411" s="4" t="s">
        <v>924</v>
      </c>
      <c r="B411" s="4" t="s">
        <v>916</v>
      </c>
      <c r="C411" s="4" t="s">
        <v>146</v>
      </c>
      <c r="D411" s="27">
        <v>45257</v>
      </c>
      <c r="E411" s="4" t="s">
        <v>29</v>
      </c>
      <c r="F411" s="4" t="s">
        <v>21</v>
      </c>
      <c r="G411" s="4" t="s">
        <v>925</v>
      </c>
      <c r="H411" s="4" t="s">
        <v>23</v>
      </c>
      <c r="I411" s="4">
        <v>9</v>
      </c>
      <c r="J411" s="4" t="s">
        <v>82</v>
      </c>
      <c r="K411" s="4">
        <v>72</v>
      </c>
      <c r="L411" s="4">
        <v>10</v>
      </c>
      <c r="M411" s="4" t="s">
        <v>33</v>
      </c>
      <c r="N411" s="28">
        <v>0.872631439539165</v>
      </c>
      <c r="O411" s="4" t="s">
        <v>26</v>
      </c>
      <c r="P411" s="4">
        <v>720</v>
      </c>
      <c r="Q411" s="4">
        <v>92</v>
      </c>
      <c r="R411" s="4">
        <v>45</v>
      </c>
    </row>
    <row r="412" spans="1:18">
      <c r="A412" s="4" t="s">
        <v>926</v>
      </c>
      <c r="B412" s="4" t="s">
        <v>918</v>
      </c>
      <c r="C412" s="4" t="s">
        <v>149</v>
      </c>
      <c r="D412" s="27">
        <v>45256</v>
      </c>
      <c r="E412" s="4" t="s">
        <v>37</v>
      </c>
      <c r="F412" s="4" t="s">
        <v>21</v>
      </c>
      <c r="G412" s="4" t="s">
        <v>927</v>
      </c>
      <c r="H412" s="4" t="s">
        <v>31</v>
      </c>
      <c r="I412" s="4">
        <v>10</v>
      </c>
      <c r="J412" s="4" t="s">
        <v>86</v>
      </c>
      <c r="K412" s="4">
        <v>65</v>
      </c>
      <c r="L412" s="4">
        <v>6</v>
      </c>
      <c r="M412" s="4" t="s">
        <v>33</v>
      </c>
      <c r="N412" s="28">
        <v>0.767781370622723</v>
      </c>
      <c r="O412" s="4" t="s">
        <v>34</v>
      </c>
      <c r="P412" s="4">
        <v>390</v>
      </c>
      <c r="Q412" s="4">
        <v>91</v>
      </c>
      <c r="R412" s="4">
        <v>29</v>
      </c>
    </row>
    <row r="413" spans="1:18">
      <c r="A413" s="4" t="s">
        <v>928</v>
      </c>
      <c r="B413" s="4" t="s">
        <v>920</v>
      </c>
      <c r="C413" s="4" t="s">
        <v>171</v>
      </c>
      <c r="D413" s="27">
        <v>45245</v>
      </c>
      <c r="E413" s="4" t="s">
        <v>20</v>
      </c>
      <c r="F413" s="4" t="s">
        <v>21</v>
      </c>
      <c r="G413" s="4" t="s">
        <v>929</v>
      </c>
      <c r="H413" s="4" t="s">
        <v>40</v>
      </c>
      <c r="I413" s="4">
        <v>7</v>
      </c>
      <c r="J413" s="4" t="s">
        <v>89</v>
      </c>
      <c r="K413" s="4">
        <v>250</v>
      </c>
      <c r="L413" s="4">
        <v>1</v>
      </c>
      <c r="M413" s="4" t="s">
        <v>33</v>
      </c>
      <c r="N413" s="28">
        <v>0.157500106311217</v>
      </c>
      <c r="O413" s="4" t="s">
        <v>42</v>
      </c>
      <c r="P413" s="4">
        <v>250</v>
      </c>
      <c r="Q413" s="4">
        <v>211</v>
      </c>
      <c r="R413" s="4">
        <v>110</v>
      </c>
    </row>
    <row r="414" spans="1:18">
      <c r="A414" s="4" t="s">
        <v>930</v>
      </c>
      <c r="B414" s="4" t="s">
        <v>922</v>
      </c>
      <c r="C414" s="4" t="s">
        <v>316</v>
      </c>
      <c r="D414" s="27">
        <v>45233</v>
      </c>
      <c r="E414" s="4" t="s">
        <v>29</v>
      </c>
      <c r="F414" s="4" t="s">
        <v>21</v>
      </c>
      <c r="G414" s="4" t="s">
        <v>931</v>
      </c>
      <c r="H414" s="4" t="s">
        <v>23</v>
      </c>
      <c r="I414" s="4">
        <v>10</v>
      </c>
      <c r="J414" s="4" t="s">
        <v>93</v>
      </c>
      <c r="K414" s="4">
        <v>72</v>
      </c>
      <c r="L414" s="4">
        <v>9</v>
      </c>
      <c r="M414" s="4" t="s">
        <v>33</v>
      </c>
      <c r="N414" s="28">
        <v>0.535701714654926</v>
      </c>
      <c r="O414" s="4" t="s">
        <v>26</v>
      </c>
      <c r="P414" s="4">
        <v>648</v>
      </c>
      <c r="Q414" s="4">
        <v>301</v>
      </c>
      <c r="R414" s="4">
        <v>46</v>
      </c>
    </row>
    <row r="415" spans="1:18">
      <c r="A415" s="4" t="s">
        <v>932</v>
      </c>
      <c r="B415" s="4" t="s">
        <v>924</v>
      </c>
      <c r="C415" s="4" t="s">
        <v>176</v>
      </c>
      <c r="D415" s="27">
        <v>45257</v>
      </c>
      <c r="E415" s="4" t="s">
        <v>29</v>
      </c>
      <c r="F415" s="4" t="s">
        <v>21</v>
      </c>
      <c r="G415" s="4" t="s">
        <v>933</v>
      </c>
      <c r="H415" s="4" t="s">
        <v>31</v>
      </c>
      <c r="I415" s="4">
        <v>9</v>
      </c>
      <c r="J415" s="4" t="s">
        <v>96</v>
      </c>
      <c r="K415" s="4">
        <v>65</v>
      </c>
      <c r="L415" s="4">
        <v>7</v>
      </c>
      <c r="M415" s="4" t="s">
        <v>33</v>
      </c>
      <c r="N415" s="28">
        <v>0.882174900759544</v>
      </c>
      <c r="O415" s="4" t="s">
        <v>34</v>
      </c>
      <c r="P415" s="4">
        <v>455</v>
      </c>
      <c r="Q415" s="4">
        <v>54</v>
      </c>
      <c r="R415" s="4">
        <v>36</v>
      </c>
    </row>
    <row r="416" spans="1:18">
      <c r="A416" s="4" t="s">
        <v>934</v>
      </c>
      <c r="B416" s="4" t="s">
        <v>926</v>
      </c>
      <c r="C416" s="4" t="s">
        <v>179</v>
      </c>
      <c r="D416" s="27">
        <v>45248</v>
      </c>
      <c r="E416" s="4" t="s">
        <v>20</v>
      </c>
      <c r="F416" s="4" t="s">
        <v>21</v>
      </c>
      <c r="G416" s="4" t="s">
        <v>935</v>
      </c>
      <c r="H416" s="4" t="s">
        <v>40</v>
      </c>
      <c r="I416" s="4">
        <v>8</v>
      </c>
      <c r="J416" s="4" t="s">
        <v>99</v>
      </c>
      <c r="K416" s="4">
        <v>250</v>
      </c>
      <c r="L416" s="4">
        <v>3</v>
      </c>
      <c r="M416" s="4" t="s">
        <v>25</v>
      </c>
      <c r="N416" s="28">
        <v>0.0748500814655743</v>
      </c>
      <c r="O416" s="4" t="s">
        <v>42</v>
      </c>
      <c r="P416" s="4">
        <v>750</v>
      </c>
      <c r="Q416" s="4">
        <v>694</v>
      </c>
      <c r="R416" s="4">
        <v>140</v>
      </c>
    </row>
    <row r="417" spans="1:18">
      <c r="A417" s="4" t="s">
        <v>936</v>
      </c>
      <c r="B417" s="4" t="s">
        <v>928</v>
      </c>
      <c r="C417" s="4" t="s">
        <v>182</v>
      </c>
      <c r="D417" s="27">
        <v>45242</v>
      </c>
      <c r="E417" s="4" t="s">
        <v>29</v>
      </c>
      <c r="F417" s="4" t="s">
        <v>21</v>
      </c>
      <c r="G417" s="4" t="s">
        <v>937</v>
      </c>
      <c r="H417" s="4" t="s">
        <v>23</v>
      </c>
      <c r="I417" s="4">
        <v>7</v>
      </c>
      <c r="J417" s="4" t="s">
        <v>103</v>
      </c>
      <c r="K417" s="4">
        <v>130</v>
      </c>
      <c r="L417" s="4">
        <v>4</v>
      </c>
      <c r="M417" s="4" t="s">
        <v>33</v>
      </c>
      <c r="N417" s="28">
        <v>0.46235152425303</v>
      </c>
      <c r="O417" s="4" t="s">
        <v>47</v>
      </c>
      <c r="P417" s="4">
        <v>520</v>
      </c>
      <c r="Q417" s="4">
        <v>280</v>
      </c>
      <c r="R417" s="4">
        <v>35</v>
      </c>
    </row>
    <row r="418" spans="1:18">
      <c r="A418" s="4" t="s">
        <v>938</v>
      </c>
      <c r="B418" s="4" t="s">
        <v>930</v>
      </c>
      <c r="C418" s="4" t="s">
        <v>73</v>
      </c>
      <c r="D418" s="27">
        <v>45254</v>
      </c>
      <c r="E418" s="4" t="s">
        <v>20</v>
      </c>
      <c r="F418" s="4" t="s">
        <v>21</v>
      </c>
      <c r="G418" s="4" t="s">
        <v>939</v>
      </c>
      <c r="H418" s="4" t="s">
        <v>31</v>
      </c>
      <c r="I418" s="4">
        <v>7</v>
      </c>
      <c r="J418" s="4" t="s">
        <v>108</v>
      </c>
      <c r="K418" s="4">
        <v>72</v>
      </c>
      <c r="L418" s="4">
        <v>10</v>
      </c>
      <c r="M418" s="4" t="s">
        <v>25</v>
      </c>
      <c r="N418" s="28">
        <v>0.344627007631771</v>
      </c>
      <c r="O418" s="4" t="s">
        <v>26</v>
      </c>
      <c r="P418" s="4">
        <v>720</v>
      </c>
      <c r="Q418" s="4">
        <v>472</v>
      </c>
      <c r="R418" s="4">
        <v>20</v>
      </c>
    </row>
    <row r="419" spans="1:18">
      <c r="A419" s="4" t="s">
        <v>940</v>
      </c>
      <c r="B419" s="4" t="s">
        <v>932</v>
      </c>
      <c r="C419" s="4" t="s">
        <v>188</v>
      </c>
      <c r="D419" s="27">
        <v>45258</v>
      </c>
      <c r="E419" s="4" t="s">
        <v>29</v>
      </c>
      <c r="F419" s="4" t="s">
        <v>21</v>
      </c>
      <c r="G419" s="4" t="s">
        <v>941</v>
      </c>
      <c r="H419" s="4" t="s">
        <v>40</v>
      </c>
      <c r="I419" s="4">
        <v>7</v>
      </c>
      <c r="J419" s="4" t="s">
        <v>112</v>
      </c>
      <c r="K419" s="4">
        <v>65</v>
      </c>
      <c r="L419" s="4">
        <v>7</v>
      </c>
      <c r="M419" s="4" t="s">
        <v>33</v>
      </c>
      <c r="N419" s="28">
        <v>0.699116241312602</v>
      </c>
      <c r="O419" s="4" t="s">
        <v>34</v>
      </c>
      <c r="P419" s="4">
        <v>455</v>
      </c>
      <c r="Q419" s="4">
        <v>137</v>
      </c>
      <c r="R419" s="4">
        <v>38</v>
      </c>
    </row>
    <row r="420" spans="1:18">
      <c r="A420" s="4" t="s">
        <v>942</v>
      </c>
      <c r="B420" s="4" t="s">
        <v>934</v>
      </c>
      <c r="C420" s="4" t="s">
        <v>191</v>
      </c>
      <c r="D420" s="27">
        <v>45255</v>
      </c>
      <c r="E420" s="4" t="s">
        <v>29</v>
      </c>
      <c r="F420" s="4" t="s">
        <v>21</v>
      </c>
      <c r="G420" s="4" t="s">
        <v>943</v>
      </c>
      <c r="H420" s="4" t="s">
        <v>23</v>
      </c>
      <c r="I420" s="4">
        <v>10</v>
      </c>
      <c r="J420" s="4" t="s">
        <v>116</v>
      </c>
      <c r="K420" s="4">
        <v>250</v>
      </c>
      <c r="L420" s="4">
        <v>1</v>
      </c>
      <c r="M420" s="4" t="s">
        <v>25</v>
      </c>
      <c r="N420" s="28">
        <v>0.0189094698670599</v>
      </c>
      <c r="O420" s="4" t="s">
        <v>42</v>
      </c>
      <c r="P420" s="4">
        <v>250</v>
      </c>
      <c r="Q420" s="4">
        <v>245</v>
      </c>
      <c r="R420" s="4">
        <v>80</v>
      </c>
    </row>
    <row r="421" spans="1:18">
      <c r="A421" s="4" t="s">
        <v>944</v>
      </c>
      <c r="B421" s="4" t="s">
        <v>936</v>
      </c>
      <c r="C421" s="4" t="s">
        <v>194</v>
      </c>
      <c r="D421" s="27">
        <v>45248</v>
      </c>
      <c r="E421" s="4" t="s">
        <v>20</v>
      </c>
      <c r="F421" s="4" t="s">
        <v>21</v>
      </c>
      <c r="G421" s="4" t="s">
        <v>945</v>
      </c>
      <c r="H421" s="4" t="s">
        <v>31</v>
      </c>
      <c r="I421" s="4">
        <v>7</v>
      </c>
      <c r="J421" s="4" t="s">
        <v>120</v>
      </c>
      <c r="K421" s="4">
        <v>130</v>
      </c>
      <c r="L421" s="4">
        <v>5</v>
      </c>
      <c r="M421" s="4" t="s">
        <v>33</v>
      </c>
      <c r="N421" s="28">
        <v>0.732454700880071</v>
      </c>
      <c r="O421" s="4" t="s">
        <v>47</v>
      </c>
      <c r="P421" s="4">
        <v>650</v>
      </c>
      <c r="Q421" s="4">
        <v>174</v>
      </c>
      <c r="R421" s="4">
        <v>53</v>
      </c>
    </row>
    <row r="422" spans="1:18">
      <c r="A422" s="4" t="s">
        <v>946</v>
      </c>
      <c r="B422" s="4" t="s">
        <v>938</v>
      </c>
      <c r="C422" s="4" t="s">
        <v>197</v>
      </c>
      <c r="D422" s="27">
        <v>45259</v>
      </c>
      <c r="E422" s="4" t="s">
        <v>29</v>
      </c>
      <c r="F422" s="4" t="s">
        <v>21</v>
      </c>
      <c r="G422" s="4" t="s">
        <v>947</v>
      </c>
      <c r="H422" s="4" t="s">
        <v>40</v>
      </c>
      <c r="I422" s="4">
        <v>10</v>
      </c>
      <c r="J422" s="4" t="s">
        <v>124</v>
      </c>
      <c r="K422" s="4">
        <v>60</v>
      </c>
      <c r="L422" s="4">
        <v>5</v>
      </c>
      <c r="M422" s="4" t="s">
        <v>25</v>
      </c>
      <c r="N422" s="28">
        <v>0.722974517445393</v>
      </c>
      <c r="O422" s="4" t="s">
        <v>68</v>
      </c>
      <c r="P422" s="4">
        <v>300</v>
      </c>
      <c r="Q422" s="4">
        <v>83</v>
      </c>
      <c r="R422" s="4">
        <v>26</v>
      </c>
    </row>
    <row r="423" spans="1:18">
      <c r="A423" s="4" t="s">
        <v>948</v>
      </c>
      <c r="B423" s="4" t="s">
        <v>940</v>
      </c>
      <c r="C423" s="4" t="s">
        <v>200</v>
      </c>
      <c r="D423" s="27">
        <v>45256</v>
      </c>
      <c r="E423" s="4" t="s">
        <v>29</v>
      </c>
      <c r="F423" s="4" t="s">
        <v>21</v>
      </c>
      <c r="G423" s="4" t="s">
        <v>949</v>
      </c>
      <c r="H423" s="4" t="s">
        <v>23</v>
      </c>
      <c r="I423" s="4">
        <v>9</v>
      </c>
      <c r="J423" s="4" t="s">
        <v>128</v>
      </c>
      <c r="K423" s="4">
        <v>72</v>
      </c>
      <c r="L423" s="4">
        <v>9</v>
      </c>
      <c r="M423" s="4" t="s">
        <v>33</v>
      </c>
      <c r="N423" s="28">
        <v>0.974177765053638</v>
      </c>
      <c r="O423" s="4" t="s">
        <v>26</v>
      </c>
      <c r="P423" s="4">
        <v>648</v>
      </c>
      <c r="Q423" s="4">
        <v>17</v>
      </c>
      <c r="R423" s="4">
        <v>37</v>
      </c>
    </row>
    <row r="424" spans="1:18">
      <c r="A424" s="4" t="s">
        <v>950</v>
      </c>
      <c r="B424" s="4" t="s">
        <v>942</v>
      </c>
      <c r="C424" s="4" t="s">
        <v>203</v>
      </c>
      <c r="D424" s="27">
        <v>45258</v>
      </c>
      <c r="E424" s="4" t="s">
        <v>20</v>
      </c>
      <c r="F424" s="4" t="s">
        <v>38</v>
      </c>
      <c r="G424" s="4" t="s">
        <v>951</v>
      </c>
      <c r="H424" s="4" t="s">
        <v>31</v>
      </c>
      <c r="I424" s="4">
        <v>10</v>
      </c>
      <c r="J424" s="4" t="s">
        <v>132</v>
      </c>
      <c r="K424" s="4">
        <v>65</v>
      </c>
      <c r="L424" s="4">
        <v>7</v>
      </c>
      <c r="M424" s="4" t="s">
        <v>25</v>
      </c>
      <c r="N424" s="28">
        <v>0.924412957076343</v>
      </c>
      <c r="O424" s="4" t="s">
        <v>34</v>
      </c>
      <c r="P424" s="4">
        <v>455</v>
      </c>
      <c r="Q424" s="4">
        <v>34</v>
      </c>
      <c r="R424" s="4">
        <v>38</v>
      </c>
    </row>
    <row r="425" spans="1:18">
      <c r="A425" s="4" t="s">
        <v>952</v>
      </c>
      <c r="B425" s="4" t="s">
        <v>944</v>
      </c>
      <c r="C425" s="4" t="s">
        <v>28</v>
      </c>
      <c r="D425" s="27">
        <v>45250</v>
      </c>
      <c r="E425" s="4" t="s">
        <v>29</v>
      </c>
      <c r="F425" s="4" t="s">
        <v>21</v>
      </c>
      <c r="G425" s="4" t="s">
        <v>953</v>
      </c>
      <c r="H425" s="4" t="s">
        <v>40</v>
      </c>
      <c r="I425" s="4">
        <v>8</v>
      </c>
      <c r="J425" s="4" t="s">
        <v>136</v>
      </c>
      <c r="K425" s="4">
        <v>250</v>
      </c>
      <c r="L425" s="4">
        <v>3</v>
      </c>
      <c r="M425" s="4" t="s">
        <v>33</v>
      </c>
      <c r="N425" s="28">
        <v>0.348412042913635</v>
      </c>
      <c r="O425" s="4" t="s">
        <v>42</v>
      </c>
      <c r="P425" s="4">
        <v>750</v>
      </c>
      <c r="Q425" s="4">
        <v>489</v>
      </c>
      <c r="R425" s="4">
        <v>90</v>
      </c>
    </row>
    <row r="426" spans="1:18">
      <c r="A426" s="4" t="s">
        <v>954</v>
      </c>
      <c r="B426" s="4" t="s">
        <v>946</v>
      </c>
      <c r="C426" s="4" t="s">
        <v>36</v>
      </c>
      <c r="D426" s="27">
        <v>45259</v>
      </c>
      <c r="E426" s="4" t="s">
        <v>20</v>
      </c>
      <c r="F426" s="4" t="s">
        <v>21</v>
      </c>
      <c r="G426" s="4" t="s">
        <v>955</v>
      </c>
      <c r="H426" s="4" t="s">
        <v>23</v>
      </c>
      <c r="I426" s="4">
        <v>9</v>
      </c>
      <c r="J426" s="4" t="s">
        <v>141</v>
      </c>
      <c r="K426" s="4">
        <v>130</v>
      </c>
      <c r="L426" s="4">
        <v>7</v>
      </c>
      <c r="M426" s="4" t="s">
        <v>25</v>
      </c>
      <c r="N426" s="28">
        <v>0.368627955024868</v>
      </c>
      <c r="O426" s="4" t="s">
        <v>47</v>
      </c>
      <c r="P426" s="4">
        <v>910</v>
      </c>
      <c r="Q426" s="4">
        <v>575</v>
      </c>
      <c r="R426" s="4">
        <v>53</v>
      </c>
    </row>
    <row r="427" spans="1:18">
      <c r="A427" s="4" t="s">
        <v>956</v>
      </c>
      <c r="B427" s="4" t="s">
        <v>948</v>
      </c>
      <c r="C427" s="4" t="s">
        <v>44</v>
      </c>
      <c r="D427" s="27">
        <v>45231</v>
      </c>
      <c r="E427" s="4" t="s">
        <v>29</v>
      </c>
      <c r="F427" s="4" t="s">
        <v>21</v>
      </c>
      <c r="G427" s="4" t="s">
        <v>957</v>
      </c>
      <c r="H427" s="4" t="s">
        <v>31</v>
      </c>
      <c r="I427" s="4">
        <v>9</v>
      </c>
      <c r="J427" s="4" t="s">
        <v>24</v>
      </c>
      <c r="K427" s="4">
        <v>72</v>
      </c>
      <c r="L427" s="4">
        <v>12</v>
      </c>
      <c r="M427" s="4" t="s">
        <v>33</v>
      </c>
      <c r="N427" s="28">
        <v>0.382796001155056</v>
      </c>
      <c r="O427" s="4" t="s">
        <v>26</v>
      </c>
      <c r="P427" s="4">
        <v>864</v>
      </c>
      <c r="Q427" s="4">
        <v>533</v>
      </c>
      <c r="R427" s="4">
        <v>40</v>
      </c>
    </row>
    <row r="428" spans="1:18">
      <c r="A428" s="4" t="s">
        <v>958</v>
      </c>
      <c r="B428" s="4" t="s">
        <v>950</v>
      </c>
      <c r="C428" s="4" t="s">
        <v>49</v>
      </c>
      <c r="D428" s="27">
        <v>45248</v>
      </c>
      <c r="E428" s="4" t="s">
        <v>20</v>
      </c>
      <c r="F428" s="4" t="s">
        <v>21</v>
      </c>
      <c r="G428" s="4" t="s">
        <v>959</v>
      </c>
      <c r="H428" s="4" t="s">
        <v>40</v>
      </c>
      <c r="I428" s="4">
        <v>8</v>
      </c>
      <c r="J428" s="4" t="s">
        <v>32</v>
      </c>
      <c r="K428" s="4">
        <v>65</v>
      </c>
      <c r="L428" s="4">
        <v>7</v>
      </c>
      <c r="M428" s="4" t="s">
        <v>25</v>
      </c>
      <c r="N428" s="28">
        <v>0.772781619237633</v>
      </c>
      <c r="O428" s="4" t="s">
        <v>34</v>
      </c>
      <c r="P428" s="4">
        <v>455</v>
      </c>
      <c r="Q428" s="4">
        <v>103</v>
      </c>
      <c r="R428" s="4">
        <v>17</v>
      </c>
    </row>
    <row r="429" spans="1:18">
      <c r="A429" s="4" t="s">
        <v>960</v>
      </c>
      <c r="B429" s="4" t="s">
        <v>952</v>
      </c>
      <c r="C429" s="4" t="s">
        <v>53</v>
      </c>
      <c r="D429" s="27">
        <v>45244</v>
      </c>
      <c r="E429" s="4" t="s">
        <v>29</v>
      </c>
      <c r="F429" s="4" t="s">
        <v>21</v>
      </c>
      <c r="G429" s="4" t="s">
        <v>961</v>
      </c>
      <c r="H429" s="4" t="s">
        <v>23</v>
      </c>
      <c r="I429" s="4">
        <v>7</v>
      </c>
      <c r="J429" s="4" t="s">
        <v>41</v>
      </c>
      <c r="K429" s="4">
        <v>250</v>
      </c>
      <c r="L429" s="4">
        <v>3</v>
      </c>
      <c r="M429" s="4" t="s">
        <v>33</v>
      </c>
      <c r="N429" s="28">
        <v>0.981945819477054</v>
      </c>
      <c r="O429" s="4" t="s">
        <v>42</v>
      </c>
      <c r="P429" s="4">
        <v>750</v>
      </c>
      <c r="Q429" s="4">
        <v>14</v>
      </c>
      <c r="R429" s="4">
        <v>88</v>
      </c>
    </row>
    <row r="430" spans="1:18">
      <c r="A430" s="4" t="s">
        <v>962</v>
      </c>
      <c r="B430" s="4" t="s">
        <v>954</v>
      </c>
      <c r="C430" s="4" t="s">
        <v>61</v>
      </c>
      <c r="D430" s="27">
        <v>45257</v>
      </c>
      <c r="E430" s="4" t="s">
        <v>37</v>
      </c>
      <c r="F430" s="4" t="s">
        <v>38</v>
      </c>
      <c r="G430" s="4" t="s">
        <v>963</v>
      </c>
      <c r="H430" s="4" t="s">
        <v>31</v>
      </c>
      <c r="I430" s="4">
        <v>10</v>
      </c>
      <c r="J430" s="4" t="s">
        <v>46</v>
      </c>
      <c r="K430" s="4">
        <v>130</v>
      </c>
      <c r="L430" s="4">
        <v>6</v>
      </c>
      <c r="M430" s="4" t="s">
        <v>25</v>
      </c>
      <c r="N430" s="28">
        <v>0.243726329687677</v>
      </c>
      <c r="O430" s="4" t="s">
        <v>47</v>
      </c>
      <c r="P430" s="4">
        <v>780</v>
      </c>
      <c r="Q430" s="4">
        <v>590</v>
      </c>
      <c r="R430" s="4">
        <v>36</v>
      </c>
    </row>
    <row r="431" spans="1:18">
      <c r="A431" s="4" t="s">
        <v>964</v>
      </c>
      <c r="B431" s="4" t="s">
        <v>956</v>
      </c>
      <c r="C431" s="4" t="s">
        <v>61</v>
      </c>
      <c r="D431" s="27">
        <v>45246</v>
      </c>
      <c r="E431" s="4" t="s">
        <v>20</v>
      </c>
      <c r="F431" s="4" t="s">
        <v>21</v>
      </c>
      <c r="G431" s="4" t="s">
        <v>965</v>
      </c>
      <c r="H431" s="4" t="s">
        <v>40</v>
      </c>
      <c r="I431" s="4">
        <v>8</v>
      </c>
      <c r="J431" s="4" t="s">
        <v>51</v>
      </c>
      <c r="K431" s="4">
        <v>60</v>
      </c>
      <c r="L431" s="4">
        <v>14</v>
      </c>
      <c r="M431" s="4" t="s">
        <v>33</v>
      </c>
      <c r="N431" s="28">
        <v>0.509774915715816</v>
      </c>
      <c r="O431" s="4" t="s">
        <v>68</v>
      </c>
      <c r="P431" s="4">
        <v>840</v>
      </c>
      <c r="Q431" s="4">
        <v>412</v>
      </c>
      <c r="R431" s="4">
        <v>24</v>
      </c>
    </row>
    <row r="432" spans="1:18">
      <c r="A432" s="4" t="s">
        <v>966</v>
      </c>
      <c r="B432" s="4" t="s">
        <v>958</v>
      </c>
      <c r="C432" s="4" t="s">
        <v>65</v>
      </c>
      <c r="D432" s="27">
        <v>45240</v>
      </c>
      <c r="E432" s="4" t="s">
        <v>29</v>
      </c>
      <c r="F432" s="4" t="s">
        <v>21</v>
      </c>
      <c r="G432" s="4" t="s">
        <v>967</v>
      </c>
      <c r="H432" s="4" t="s">
        <v>23</v>
      </c>
      <c r="I432" s="4">
        <v>10</v>
      </c>
      <c r="J432" s="4" t="s">
        <v>55</v>
      </c>
      <c r="K432" s="4">
        <v>95</v>
      </c>
      <c r="L432" s="4">
        <v>7</v>
      </c>
      <c r="M432" s="4" t="s">
        <v>25</v>
      </c>
      <c r="N432" s="28">
        <v>0.991237445154857</v>
      </c>
      <c r="O432" s="4" t="s">
        <v>104</v>
      </c>
      <c r="P432" s="4">
        <v>665</v>
      </c>
      <c r="Q432" s="4">
        <v>6</v>
      </c>
      <c r="R432" s="4">
        <v>31</v>
      </c>
    </row>
    <row r="433" spans="1:18">
      <c r="A433" s="4" t="s">
        <v>968</v>
      </c>
      <c r="B433" s="4" t="s">
        <v>960</v>
      </c>
      <c r="C433" s="4" t="s">
        <v>222</v>
      </c>
      <c r="D433" s="27">
        <v>45248</v>
      </c>
      <c r="E433" s="4" t="s">
        <v>29</v>
      </c>
      <c r="F433" s="4" t="s">
        <v>21</v>
      </c>
      <c r="G433" s="4" t="s">
        <v>969</v>
      </c>
      <c r="H433" s="4" t="s">
        <v>31</v>
      </c>
      <c r="I433" s="4">
        <v>7</v>
      </c>
      <c r="J433" s="4" t="s">
        <v>58</v>
      </c>
      <c r="K433" s="4">
        <v>72</v>
      </c>
      <c r="L433" s="4">
        <v>5</v>
      </c>
      <c r="M433" s="4" t="s">
        <v>33</v>
      </c>
      <c r="N433" s="28">
        <v>0.580010276424012</v>
      </c>
      <c r="O433" s="4" t="s">
        <v>26</v>
      </c>
      <c r="P433" s="4">
        <v>360</v>
      </c>
      <c r="Q433" s="4">
        <v>151</v>
      </c>
      <c r="R433" s="4">
        <v>25</v>
      </c>
    </row>
    <row r="434" spans="1:18">
      <c r="A434" s="4" t="s">
        <v>970</v>
      </c>
      <c r="B434" s="4" t="s">
        <v>962</v>
      </c>
      <c r="C434" s="4" t="s">
        <v>73</v>
      </c>
      <c r="D434" s="27">
        <v>45248</v>
      </c>
      <c r="E434" s="4" t="s">
        <v>20</v>
      </c>
      <c r="F434" s="4" t="s">
        <v>21</v>
      </c>
      <c r="G434" s="4" t="s">
        <v>971</v>
      </c>
      <c r="H434" s="4" t="s">
        <v>40</v>
      </c>
      <c r="I434" s="4">
        <v>7</v>
      </c>
      <c r="J434" s="4" t="s">
        <v>63</v>
      </c>
      <c r="K434" s="4">
        <v>65</v>
      </c>
      <c r="L434" s="4">
        <v>8</v>
      </c>
      <c r="M434" s="4" t="s">
        <v>33</v>
      </c>
      <c r="N434" s="28">
        <v>0.200998095208025</v>
      </c>
      <c r="O434" s="4" t="s">
        <v>34</v>
      </c>
      <c r="P434" s="4">
        <v>520</v>
      </c>
      <c r="Q434" s="4">
        <v>415</v>
      </c>
      <c r="R434" s="4">
        <v>21</v>
      </c>
    </row>
    <row r="435" spans="1:18">
      <c r="A435" s="4" t="s">
        <v>972</v>
      </c>
      <c r="B435" s="4" t="s">
        <v>964</v>
      </c>
      <c r="C435" s="4" t="s">
        <v>77</v>
      </c>
      <c r="D435" s="27">
        <v>45234</v>
      </c>
      <c r="E435" s="4" t="s">
        <v>29</v>
      </c>
      <c r="F435" s="4" t="s">
        <v>21</v>
      </c>
      <c r="G435" s="4" t="s">
        <v>973</v>
      </c>
      <c r="H435" s="4" t="s">
        <v>23</v>
      </c>
      <c r="I435" s="4">
        <v>10</v>
      </c>
      <c r="J435" s="4" t="s">
        <v>67</v>
      </c>
      <c r="K435" s="4">
        <v>250</v>
      </c>
      <c r="L435" s="4">
        <v>3</v>
      </c>
      <c r="M435" s="4" t="s">
        <v>33</v>
      </c>
      <c r="N435" s="28">
        <v>0.0875890820570904</v>
      </c>
      <c r="O435" s="4" t="s">
        <v>42</v>
      </c>
      <c r="P435" s="4">
        <v>750</v>
      </c>
      <c r="Q435" s="4">
        <v>684</v>
      </c>
      <c r="R435" s="4">
        <v>83</v>
      </c>
    </row>
    <row r="436" spans="1:18">
      <c r="A436" s="4" t="s">
        <v>974</v>
      </c>
      <c r="B436" s="4" t="s">
        <v>966</v>
      </c>
      <c r="C436" s="4" t="s">
        <v>229</v>
      </c>
      <c r="D436" s="27">
        <v>45245</v>
      </c>
      <c r="E436" s="4" t="s">
        <v>20</v>
      </c>
      <c r="F436" s="4" t="s">
        <v>21</v>
      </c>
      <c r="G436" s="4" t="s">
        <v>975</v>
      </c>
      <c r="H436" s="4" t="s">
        <v>31</v>
      </c>
      <c r="I436" s="4">
        <v>9</v>
      </c>
      <c r="J436" s="4" t="s">
        <v>71</v>
      </c>
      <c r="K436" s="4">
        <v>130</v>
      </c>
      <c r="L436" s="4">
        <v>4</v>
      </c>
      <c r="M436" s="4" t="s">
        <v>33</v>
      </c>
      <c r="N436" s="28">
        <v>0.922035177984396</v>
      </c>
      <c r="O436" s="4" t="s">
        <v>47</v>
      </c>
      <c r="P436" s="4">
        <v>520</v>
      </c>
      <c r="Q436" s="4">
        <v>41</v>
      </c>
      <c r="R436" s="4">
        <v>34</v>
      </c>
    </row>
    <row r="437" spans="1:18">
      <c r="A437" s="4" t="s">
        <v>976</v>
      </c>
      <c r="B437" s="4" t="s">
        <v>968</v>
      </c>
      <c r="C437" s="4" t="s">
        <v>84</v>
      </c>
      <c r="D437" s="27">
        <v>45244</v>
      </c>
      <c r="E437" s="4" t="s">
        <v>29</v>
      </c>
      <c r="F437" s="4" t="s">
        <v>21</v>
      </c>
      <c r="G437" s="4" t="s">
        <v>977</v>
      </c>
      <c r="H437" s="4" t="s">
        <v>40</v>
      </c>
      <c r="I437" s="4">
        <v>9</v>
      </c>
      <c r="J437" s="4" t="s">
        <v>75</v>
      </c>
      <c r="K437" s="4">
        <v>72</v>
      </c>
      <c r="L437" s="4">
        <v>10</v>
      </c>
      <c r="M437" s="4" t="s">
        <v>33</v>
      </c>
      <c r="N437" s="28">
        <v>0.406469512164156</v>
      </c>
      <c r="O437" s="4" t="s">
        <v>26</v>
      </c>
      <c r="P437" s="4">
        <v>720</v>
      </c>
      <c r="Q437" s="4">
        <v>427</v>
      </c>
      <c r="R437" s="4">
        <v>18</v>
      </c>
    </row>
    <row r="438" spans="1:18">
      <c r="A438" s="4" t="s">
        <v>978</v>
      </c>
      <c r="B438" s="4" t="s">
        <v>970</v>
      </c>
      <c r="C438" s="4" t="s">
        <v>200</v>
      </c>
      <c r="D438" s="27">
        <v>45233</v>
      </c>
      <c r="E438" s="4" t="s">
        <v>29</v>
      </c>
      <c r="F438" s="4" t="s">
        <v>21</v>
      </c>
      <c r="G438" s="4" t="s">
        <v>979</v>
      </c>
      <c r="H438" s="4" t="s">
        <v>23</v>
      </c>
      <c r="I438" s="4">
        <v>7</v>
      </c>
      <c r="J438" s="4" t="s">
        <v>79</v>
      </c>
      <c r="K438" s="4">
        <v>65</v>
      </c>
      <c r="L438" s="4">
        <v>4</v>
      </c>
      <c r="M438" s="4" t="s">
        <v>25</v>
      </c>
      <c r="N438" s="28">
        <v>0.455220484940313</v>
      </c>
      <c r="O438" s="4" t="s">
        <v>34</v>
      </c>
      <c r="P438" s="4">
        <v>260</v>
      </c>
      <c r="Q438" s="4">
        <v>142</v>
      </c>
      <c r="R438" s="4">
        <v>41</v>
      </c>
    </row>
    <row r="439" spans="1:18">
      <c r="A439" s="4" t="s">
        <v>980</v>
      </c>
      <c r="B439" s="4" t="s">
        <v>972</v>
      </c>
      <c r="C439" s="4" t="s">
        <v>203</v>
      </c>
      <c r="D439" s="27">
        <v>45248</v>
      </c>
      <c r="E439" s="4" t="s">
        <v>20</v>
      </c>
      <c r="F439" s="4" t="s">
        <v>21</v>
      </c>
      <c r="G439" s="4" t="s">
        <v>981</v>
      </c>
      <c r="H439" s="4" t="s">
        <v>31</v>
      </c>
      <c r="I439" s="4">
        <v>10</v>
      </c>
      <c r="J439" s="4" t="s">
        <v>82</v>
      </c>
      <c r="K439" s="4">
        <v>250</v>
      </c>
      <c r="L439" s="4">
        <v>3</v>
      </c>
      <c r="M439" s="4" t="s">
        <v>33</v>
      </c>
      <c r="N439" s="28">
        <v>0.455148287808982</v>
      </c>
      <c r="O439" s="4" t="s">
        <v>42</v>
      </c>
      <c r="P439" s="4">
        <v>750</v>
      </c>
      <c r="Q439" s="4">
        <v>409</v>
      </c>
      <c r="R439" s="4">
        <v>123</v>
      </c>
    </row>
    <row r="440" spans="1:18">
      <c r="A440" s="4" t="s">
        <v>982</v>
      </c>
      <c r="B440" s="4" t="s">
        <v>974</v>
      </c>
      <c r="C440" s="4" t="s">
        <v>28</v>
      </c>
      <c r="D440" s="27">
        <v>45255</v>
      </c>
      <c r="E440" s="4" t="s">
        <v>29</v>
      </c>
      <c r="F440" s="4" t="s">
        <v>21</v>
      </c>
      <c r="G440" s="4" t="s">
        <v>983</v>
      </c>
      <c r="H440" s="4" t="s">
        <v>40</v>
      </c>
      <c r="I440" s="4">
        <v>7</v>
      </c>
      <c r="J440" s="4" t="s">
        <v>86</v>
      </c>
      <c r="K440" s="4">
        <v>130</v>
      </c>
      <c r="L440" s="4">
        <v>2</v>
      </c>
      <c r="M440" s="4" t="s">
        <v>25</v>
      </c>
      <c r="N440" s="28">
        <v>0.301264868348264</v>
      </c>
      <c r="O440" s="4" t="s">
        <v>47</v>
      </c>
      <c r="P440" s="4">
        <v>260</v>
      </c>
      <c r="Q440" s="4">
        <v>182</v>
      </c>
      <c r="R440" s="4">
        <v>59</v>
      </c>
    </row>
    <row r="441" spans="1:18">
      <c r="A441" s="4" t="s">
        <v>984</v>
      </c>
      <c r="B441" s="4" t="s">
        <v>976</v>
      </c>
      <c r="C441" s="4" t="s">
        <v>36</v>
      </c>
      <c r="D441" s="27">
        <v>45253</v>
      </c>
      <c r="E441" s="4" t="s">
        <v>29</v>
      </c>
      <c r="F441" s="4" t="s">
        <v>21</v>
      </c>
      <c r="G441" s="4" t="s">
        <v>985</v>
      </c>
      <c r="H441" s="4" t="s">
        <v>23</v>
      </c>
      <c r="I441" s="4">
        <v>7</v>
      </c>
      <c r="J441" s="4" t="s">
        <v>89</v>
      </c>
      <c r="K441" s="4">
        <v>60</v>
      </c>
      <c r="L441" s="4">
        <v>4</v>
      </c>
      <c r="M441" s="4" t="s">
        <v>33</v>
      </c>
      <c r="N441" s="28">
        <v>0.228863120785874</v>
      </c>
      <c r="O441" s="4" t="s">
        <v>68</v>
      </c>
      <c r="P441" s="4">
        <v>240</v>
      </c>
      <c r="Q441" s="4">
        <v>185</v>
      </c>
      <c r="R441" s="4">
        <v>16</v>
      </c>
    </row>
    <row r="442" spans="1:18">
      <c r="A442" s="4" t="s">
        <v>986</v>
      </c>
      <c r="B442" s="4" t="s">
        <v>978</v>
      </c>
      <c r="C442" s="4" t="s">
        <v>44</v>
      </c>
      <c r="D442" s="27">
        <v>45235</v>
      </c>
      <c r="E442" s="4" t="s">
        <v>20</v>
      </c>
      <c r="F442" s="4" t="s">
        <v>21</v>
      </c>
      <c r="G442" s="4" t="s">
        <v>987</v>
      </c>
      <c r="H442" s="4" t="s">
        <v>31</v>
      </c>
      <c r="I442" s="4">
        <v>8</v>
      </c>
      <c r="J442" s="4" t="s">
        <v>93</v>
      </c>
      <c r="K442" s="4">
        <v>72</v>
      </c>
      <c r="L442" s="4">
        <v>4</v>
      </c>
      <c r="M442" s="4" t="s">
        <v>25</v>
      </c>
      <c r="N442" s="28">
        <v>0.488558790209001</v>
      </c>
      <c r="O442" s="4" t="s">
        <v>26</v>
      </c>
      <c r="P442" s="4">
        <v>288</v>
      </c>
      <c r="Q442" s="4">
        <v>147</v>
      </c>
      <c r="R442" s="4">
        <v>21</v>
      </c>
    </row>
    <row r="443" spans="1:18">
      <c r="A443" s="4" t="s">
        <v>988</v>
      </c>
      <c r="B443" s="4" t="s">
        <v>980</v>
      </c>
      <c r="C443" s="4" t="s">
        <v>49</v>
      </c>
      <c r="D443" s="27">
        <v>45260</v>
      </c>
      <c r="E443" s="4" t="s">
        <v>29</v>
      </c>
      <c r="F443" s="4" t="s">
        <v>21</v>
      </c>
      <c r="G443" s="4" t="s">
        <v>989</v>
      </c>
      <c r="H443" s="4" t="s">
        <v>40</v>
      </c>
      <c r="I443" s="4">
        <v>7</v>
      </c>
      <c r="J443" s="4" t="s">
        <v>96</v>
      </c>
      <c r="K443" s="4">
        <v>65</v>
      </c>
      <c r="L443" s="4">
        <v>7</v>
      </c>
      <c r="M443" s="4" t="s">
        <v>33</v>
      </c>
      <c r="N443" s="28">
        <v>0.883010127823949</v>
      </c>
      <c r="O443" s="4" t="s">
        <v>34</v>
      </c>
      <c r="P443" s="4">
        <v>455</v>
      </c>
      <c r="Q443" s="4">
        <v>53</v>
      </c>
      <c r="R443" s="4">
        <v>20</v>
      </c>
    </row>
    <row r="444" spans="1:18">
      <c r="A444" s="4" t="s">
        <v>990</v>
      </c>
      <c r="B444" s="4" t="s">
        <v>982</v>
      </c>
      <c r="C444" s="4" t="s">
        <v>53</v>
      </c>
      <c r="D444" s="27">
        <v>45247</v>
      </c>
      <c r="E444" s="4" t="s">
        <v>20</v>
      </c>
      <c r="F444" s="4" t="s">
        <v>21</v>
      </c>
      <c r="G444" s="4" t="s">
        <v>991</v>
      </c>
      <c r="H444" s="4" t="s">
        <v>23</v>
      </c>
      <c r="I444" s="4">
        <v>10</v>
      </c>
      <c r="J444" s="4" t="s">
        <v>99</v>
      </c>
      <c r="K444" s="4">
        <v>250</v>
      </c>
      <c r="L444" s="4">
        <v>2</v>
      </c>
      <c r="M444" s="4" t="s">
        <v>25</v>
      </c>
      <c r="N444" s="28">
        <v>0.307050243982862</v>
      </c>
      <c r="O444" s="4" t="s">
        <v>42</v>
      </c>
      <c r="P444" s="4">
        <v>500</v>
      </c>
      <c r="Q444" s="4">
        <v>346</v>
      </c>
      <c r="R444" s="4">
        <v>83</v>
      </c>
    </row>
    <row r="445" spans="1:18">
      <c r="A445" s="4" t="s">
        <v>992</v>
      </c>
      <c r="B445" s="4" t="s">
        <v>984</v>
      </c>
      <c r="C445" s="4" t="s">
        <v>61</v>
      </c>
      <c r="D445" s="27">
        <v>45237</v>
      </c>
      <c r="E445" s="4" t="s">
        <v>29</v>
      </c>
      <c r="F445" s="4" t="s">
        <v>21</v>
      </c>
      <c r="G445" s="4" t="s">
        <v>993</v>
      </c>
      <c r="H445" s="4" t="s">
        <v>31</v>
      </c>
      <c r="I445" s="4">
        <v>7</v>
      </c>
      <c r="J445" s="4" t="s">
        <v>103</v>
      </c>
      <c r="K445" s="4">
        <v>130</v>
      </c>
      <c r="L445" s="4">
        <v>6</v>
      </c>
      <c r="M445" s="4" t="s">
        <v>33</v>
      </c>
      <c r="N445" s="28">
        <v>0.857049395637535</v>
      </c>
      <c r="O445" s="4" t="s">
        <v>47</v>
      </c>
      <c r="P445" s="4">
        <v>780</v>
      </c>
      <c r="Q445" s="4">
        <v>112</v>
      </c>
      <c r="R445" s="4">
        <v>60</v>
      </c>
    </row>
    <row r="446" spans="1:18">
      <c r="A446" s="4" t="s">
        <v>994</v>
      </c>
      <c r="B446" s="4" t="s">
        <v>986</v>
      </c>
      <c r="C446" s="4" t="s">
        <v>61</v>
      </c>
      <c r="D446" s="27">
        <v>45251</v>
      </c>
      <c r="E446" s="4" t="s">
        <v>20</v>
      </c>
      <c r="F446" s="4" t="s">
        <v>21</v>
      </c>
      <c r="G446" s="4" t="s">
        <v>995</v>
      </c>
      <c r="H446" s="4" t="s">
        <v>40</v>
      </c>
      <c r="I446" s="4">
        <v>10</v>
      </c>
      <c r="J446" s="4" t="s">
        <v>108</v>
      </c>
      <c r="K446" s="4">
        <v>72</v>
      </c>
      <c r="L446" s="4">
        <v>9</v>
      </c>
      <c r="M446" s="4" t="s">
        <v>25</v>
      </c>
      <c r="N446" s="28">
        <v>0.291598024455163</v>
      </c>
      <c r="O446" s="4" t="s">
        <v>26</v>
      </c>
      <c r="P446" s="4">
        <v>648</v>
      </c>
      <c r="Q446" s="4">
        <v>459</v>
      </c>
      <c r="R446" s="4">
        <v>24</v>
      </c>
    </row>
    <row r="447" spans="1:18">
      <c r="A447" s="4" t="s">
        <v>996</v>
      </c>
      <c r="B447" s="4" t="s">
        <v>988</v>
      </c>
      <c r="C447" s="4" t="s">
        <v>65</v>
      </c>
      <c r="D447" s="27">
        <v>45244</v>
      </c>
      <c r="E447" s="4" t="s">
        <v>29</v>
      </c>
      <c r="F447" s="4" t="s">
        <v>21</v>
      </c>
      <c r="G447" s="4" t="s">
        <v>997</v>
      </c>
      <c r="H447" s="4" t="s">
        <v>23</v>
      </c>
      <c r="I447" s="4">
        <v>7</v>
      </c>
      <c r="J447" s="4" t="s">
        <v>112</v>
      </c>
      <c r="K447" s="4">
        <v>65</v>
      </c>
      <c r="L447" s="4">
        <v>9</v>
      </c>
      <c r="M447" s="4" t="s">
        <v>33</v>
      </c>
      <c r="N447" s="28">
        <v>0.258944568328516</v>
      </c>
      <c r="O447" s="4" t="s">
        <v>34</v>
      </c>
      <c r="P447" s="4">
        <v>585</v>
      </c>
      <c r="Q447" s="4">
        <v>434</v>
      </c>
      <c r="R447" s="4">
        <v>42</v>
      </c>
    </row>
    <row r="448" spans="1:18">
      <c r="A448" s="4" t="s">
        <v>998</v>
      </c>
      <c r="B448" s="4" t="s">
        <v>990</v>
      </c>
      <c r="C448" s="4" t="s">
        <v>53</v>
      </c>
      <c r="D448" s="27">
        <v>45239</v>
      </c>
      <c r="E448" s="4" t="s">
        <v>37</v>
      </c>
      <c r="F448" s="4" t="s">
        <v>21</v>
      </c>
      <c r="G448" s="4" t="s">
        <v>999</v>
      </c>
      <c r="H448" s="4" t="s">
        <v>31</v>
      </c>
      <c r="I448" s="4">
        <v>9</v>
      </c>
      <c r="J448" s="4" t="s">
        <v>116</v>
      </c>
      <c r="K448" s="4">
        <v>250</v>
      </c>
      <c r="L448" s="4">
        <v>2</v>
      </c>
      <c r="M448" s="4" t="s">
        <v>25</v>
      </c>
      <c r="N448" s="28">
        <v>0.295420994868114</v>
      </c>
      <c r="O448" s="4" t="s">
        <v>42</v>
      </c>
      <c r="P448" s="4">
        <v>500</v>
      </c>
      <c r="Q448" s="4">
        <v>352</v>
      </c>
      <c r="R448" s="4">
        <v>135</v>
      </c>
    </row>
    <row r="449" spans="1:18">
      <c r="A449" s="4" t="s">
        <v>1000</v>
      </c>
      <c r="B449" s="4" t="s">
        <v>992</v>
      </c>
      <c r="C449" s="4" t="s">
        <v>73</v>
      </c>
      <c r="D449" s="27">
        <v>45235</v>
      </c>
      <c r="E449" s="4" t="s">
        <v>20</v>
      </c>
      <c r="F449" s="4" t="s">
        <v>21</v>
      </c>
      <c r="G449" s="4" t="s">
        <v>1001</v>
      </c>
      <c r="H449" s="4" t="s">
        <v>40</v>
      </c>
      <c r="I449" s="4">
        <v>7</v>
      </c>
      <c r="J449" s="4" t="s">
        <v>120</v>
      </c>
      <c r="K449" s="4">
        <v>130</v>
      </c>
      <c r="L449" s="4">
        <v>2</v>
      </c>
      <c r="M449" s="4" t="s">
        <v>33</v>
      </c>
      <c r="N449" s="28">
        <v>0.074202009604403</v>
      </c>
      <c r="O449" s="4" t="s">
        <v>47</v>
      </c>
      <c r="P449" s="4">
        <v>260</v>
      </c>
      <c r="Q449" s="4">
        <v>241</v>
      </c>
      <c r="R449" s="4">
        <v>42</v>
      </c>
    </row>
    <row r="450" spans="1:18">
      <c r="A450" s="4" t="s">
        <v>1002</v>
      </c>
      <c r="B450" s="4" t="s">
        <v>994</v>
      </c>
      <c r="C450" s="4" t="s">
        <v>77</v>
      </c>
      <c r="D450" s="27">
        <v>45235</v>
      </c>
      <c r="E450" s="4" t="s">
        <v>29</v>
      </c>
      <c r="F450" s="4" t="s">
        <v>21</v>
      </c>
      <c r="G450" s="4" t="s">
        <v>1003</v>
      </c>
      <c r="H450" s="4" t="s">
        <v>23</v>
      </c>
      <c r="I450" s="4">
        <v>8</v>
      </c>
      <c r="J450" s="4" t="s">
        <v>124</v>
      </c>
      <c r="K450" s="4">
        <v>60</v>
      </c>
      <c r="L450" s="4">
        <v>11</v>
      </c>
      <c r="M450" s="4" t="s">
        <v>25</v>
      </c>
      <c r="N450" s="28">
        <v>0.0390670034013544</v>
      </c>
      <c r="O450" s="4" t="s">
        <v>68</v>
      </c>
      <c r="P450" s="4">
        <v>660</v>
      </c>
      <c r="Q450" s="4">
        <v>634</v>
      </c>
      <c r="R450" s="4">
        <v>30</v>
      </c>
    </row>
    <row r="451" spans="1:18">
      <c r="A451" s="4" t="s">
        <v>1004</v>
      </c>
      <c r="B451" s="4" t="s">
        <v>996</v>
      </c>
      <c r="C451" s="4" t="s">
        <v>229</v>
      </c>
      <c r="D451" s="27">
        <v>45260</v>
      </c>
      <c r="E451" s="4" t="s">
        <v>29</v>
      </c>
      <c r="F451" s="4" t="s">
        <v>21</v>
      </c>
      <c r="G451" s="4" t="s">
        <v>1005</v>
      </c>
      <c r="H451" s="4" t="s">
        <v>23</v>
      </c>
      <c r="I451" s="4">
        <v>10</v>
      </c>
      <c r="J451" s="4" t="s">
        <v>128</v>
      </c>
      <c r="K451" s="4">
        <v>95</v>
      </c>
      <c r="L451" s="4">
        <v>4</v>
      </c>
      <c r="M451" s="4" t="s">
        <v>33</v>
      </c>
      <c r="N451" s="28">
        <v>0.764685046603723</v>
      </c>
      <c r="O451" s="4" t="s">
        <v>104</v>
      </c>
      <c r="P451" s="4">
        <v>380</v>
      </c>
      <c r="Q451" s="4">
        <v>89</v>
      </c>
      <c r="R451" s="4">
        <v>32</v>
      </c>
    </row>
    <row r="452" spans="1:18">
      <c r="A452" s="4" t="s">
        <v>1006</v>
      </c>
      <c r="B452" s="4" t="s">
        <v>998</v>
      </c>
      <c r="C452" s="4" t="s">
        <v>84</v>
      </c>
      <c r="D452" s="27">
        <v>45242</v>
      </c>
      <c r="E452" s="4" t="s">
        <v>20</v>
      </c>
      <c r="F452" s="4" t="s">
        <v>38</v>
      </c>
      <c r="G452" s="4" t="s">
        <v>1007</v>
      </c>
      <c r="H452" s="4" t="s">
        <v>23</v>
      </c>
      <c r="I452" s="4">
        <v>9</v>
      </c>
      <c r="J452" s="4" t="s">
        <v>132</v>
      </c>
      <c r="K452" s="4">
        <v>72</v>
      </c>
      <c r="L452" s="4">
        <v>11</v>
      </c>
      <c r="M452" s="4" t="s">
        <v>25</v>
      </c>
      <c r="N452" s="28">
        <v>0.748674805392321</v>
      </c>
      <c r="O452" s="4" t="s">
        <v>26</v>
      </c>
      <c r="P452" s="4">
        <v>792</v>
      </c>
      <c r="Q452" s="4">
        <v>199</v>
      </c>
      <c r="R452" s="4">
        <v>39</v>
      </c>
    </row>
    <row r="453" spans="1:18">
      <c r="A453" s="4" t="s">
        <v>1008</v>
      </c>
      <c r="B453" s="4" t="s">
        <v>1000</v>
      </c>
      <c r="C453" s="4" t="s">
        <v>53</v>
      </c>
      <c r="D453" s="27">
        <v>45246</v>
      </c>
      <c r="E453" s="4" t="s">
        <v>29</v>
      </c>
      <c r="F453" s="4" t="s">
        <v>21</v>
      </c>
      <c r="G453" s="4" t="s">
        <v>1009</v>
      </c>
      <c r="H453" s="4" t="s">
        <v>31</v>
      </c>
      <c r="I453" s="4">
        <v>7</v>
      </c>
      <c r="J453" s="4" t="s">
        <v>136</v>
      </c>
      <c r="K453" s="4">
        <v>65</v>
      </c>
      <c r="L453" s="4">
        <v>6</v>
      </c>
      <c r="M453" s="4" t="s">
        <v>33</v>
      </c>
      <c r="N453" s="28">
        <v>0.693009392027571</v>
      </c>
      <c r="O453" s="4" t="s">
        <v>34</v>
      </c>
      <c r="P453" s="4">
        <v>390</v>
      </c>
      <c r="Q453" s="4">
        <v>120</v>
      </c>
      <c r="R453" s="4">
        <v>33</v>
      </c>
    </row>
    <row r="454" spans="1:18">
      <c r="A454" s="4" t="s">
        <v>1010</v>
      </c>
      <c r="B454" s="4" t="s">
        <v>1002</v>
      </c>
      <c r="C454" s="4" t="s">
        <v>91</v>
      </c>
      <c r="D454" s="27">
        <v>45231</v>
      </c>
      <c r="E454" s="4" t="s">
        <v>20</v>
      </c>
      <c r="F454" s="4" t="s">
        <v>21</v>
      </c>
      <c r="G454" s="4" t="s">
        <v>1011</v>
      </c>
      <c r="H454" s="4" t="s">
        <v>40</v>
      </c>
      <c r="I454" s="4">
        <v>8</v>
      </c>
      <c r="J454" s="4" t="s">
        <v>141</v>
      </c>
      <c r="K454" s="4">
        <v>250</v>
      </c>
      <c r="L454" s="4">
        <v>1</v>
      </c>
      <c r="M454" s="4" t="s">
        <v>25</v>
      </c>
      <c r="N454" s="28">
        <v>0.529373912221037</v>
      </c>
      <c r="O454" s="4" t="s">
        <v>42</v>
      </c>
      <c r="P454" s="4">
        <v>250</v>
      </c>
      <c r="Q454" s="4">
        <v>118</v>
      </c>
      <c r="R454" s="4">
        <v>100</v>
      </c>
    </row>
    <row r="455" spans="1:18">
      <c r="A455" s="4" t="s">
        <v>1012</v>
      </c>
      <c r="B455" s="4" t="s">
        <v>1004</v>
      </c>
      <c r="C455" s="4" t="s">
        <v>77</v>
      </c>
      <c r="D455" s="27">
        <v>45246</v>
      </c>
      <c r="E455" s="4" t="s">
        <v>29</v>
      </c>
      <c r="F455" s="4" t="s">
        <v>21</v>
      </c>
      <c r="G455" s="4" t="s">
        <v>1013</v>
      </c>
      <c r="H455" s="4" t="s">
        <v>23</v>
      </c>
      <c r="I455" s="4">
        <v>7</v>
      </c>
      <c r="J455" s="4" t="s">
        <v>24</v>
      </c>
      <c r="K455" s="4">
        <v>130</v>
      </c>
      <c r="L455" s="4">
        <v>3</v>
      </c>
      <c r="M455" s="4" t="s">
        <v>33</v>
      </c>
      <c r="N455" s="28">
        <v>0.324135148599341</v>
      </c>
      <c r="O455" s="4" t="s">
        <v>47</v>
      </c>
      <c r="P455" s="4">
        <v>390</v>
      </c>
      <c r="Q455" s="4">
        <v>264</v>
      </c>
      <c r="R455" s="4">
        <v>46</v>
      </c>
    </row>
    <row r="456" spans="1:18">
      <c r="A456" s="4" t="s">
        <v>1014</v>
      </c>
      <c r="B456" s="4" t="s">
        <v>1006</v>
      </c>
      <c r="C456" s="4" t="s">
        <v>49</v>
      </c>
      <c r="D456" s="27">
        <v>45236</v>
      </c>
      <c r="E456" s="4" t="s">
        <v>29</v>
      </c>
      <c r="F456" s="4" t="s">
        <v>21</v>
      </c>
      <c r="G456" s="4" t="s">
        <v>1015</v>
      </c>
      <c r="H456" s="4" t="s">
        <v>31</v>
      </c>
      <c r="I456" s="4">
        <v>9</v>
      </c>
      <c r="J456" s="4" t="s">
        <v>32</v>
      </c>
      <c r="K456" s="4">
        <v>72</v>
      </c>
      <c r="L456" s="4">
        <v>4</v>
      </c>
      <c r="M456" s="4" t="s">
        <v>33</v>
      </c>
      <c r="N456" s="28">
        <v>0.359077751493997</v>
      </c>
      <c r="O456" s="4" t="s">
        <v>26</v>
      </c>
      <c r="P456" s="4">
        <v>288</v>
      </c>
      <c r="Q456" s="4">
        <v>185</v>
      </c>
      <c r="R456" s="4">
        <v>46</v>
      </c>
    </row>
    <row r="457" spans="1:18">
      <c r="A457" s="4" t="s">
        <v>1016</v>
      </c>
      <c r="B457" s="4" t="s">
        <v>1008</v>
      </c>
      <c r="C457" s="4" t="s">
        <v>101</v>
      </c>
      <c r="D457" s="27">
        <v>45250</v>
      </c>
      <c r="E457" s="4" t="s">
        <v>20</v>
      </c>
      <c r="F457" s="4" t="s">
        <v>21</v>
      </c>
      <c r="G457" s="4" t="s">
        <v>1017</v>
      </c>
      <c r="H457" s="4" t="s">
        <v>40</v>
      </c>
      <c r="I457" s="4">
        <v>10</v>
      </c>
      <c r="J457" s="4" t="s">
        <v>86</v>
      </c>
      <c r="K457" s="4">
        <v>65</v>
      </c>
      <c r="L457" s="4">
        <v>6</v>
      </c>
      <c r="M457" s="4" t="s">
        <v>33</v>
      </c>
      <c r="N457" s="28">
        <v>0.659085902588657</v>
      </c>
      <c r="O457" s="4" t="s">
        <v>34</v>
      </c>
      <c r="P457" s="4">
        <v>390</v>
      </c>
      <c r="Q457" s="4">
        <v>133</v>
      </c>
      <c r="R457" s="4">
        <v>34</v>
      </c>
    </row>
    <row r="458" spans="1:18">
      <c r="A458" s="4" t="s">
        <v>1018</v>
      </c>
      <c r="B458" s="4" t="s">
        <v>1010</v>
      </c>
      <c r="C458" s="4" t="s">
        <v>106</v>
      </c>
      <c r="D458" s="27">
        <v>45247</v>
      </c>
      <c r="E458" s="4" t="s">
        <v>29</v>
      </c>
      <c r="F458" s="4" t="s">
        <v>38</v>
      </c>
      <c r="G458" s="4" t="s">
        <v>1019</v>
      </c>
      <c r="H458" s="4" t="s">
        <v>23</v>
      </c>
      <c r="I458" s="4">
        <v>7</v>
      </c>
      <c r="J458" s="4" t="s">
        <v>89</v>
      </c>
      <c r="K458" s="4">
        <v>250</v>
      </c>
      <c r="L458" s="4">
        <v>2</v>
      </c>
      <c r="M458" s="4" t="s">
        <v>33</v>
      </c>
      <c r="N458" s="28">
        <v>0.51385178684784</v>
      </c>
      <c r="O458" s="4" t="s">
        <v>42</v>
      </c>
      <c r="P458" s="4">
        <v>500</v>
      </c>
      <c r="Q458" s="4">
        <v>243</v>
      </c>
      <c r="R458" s="4">
        <v>135</v>
      </c>
    </row>
    <row r="459" spans="1:18">
      <c r="A459" s="4" t="s">
        <v>1020</v>
      </c>
      <c r="B459" s="4" t="s">
        <v>1012</v>
      </c>
      <c r="C459" s="4" t="s">
        <v>110</v>
      </c>
      <c r="D459" s="27">
        <v>45255</v>
      </c>
      <c r="E459" s="4" t="s">
        <v>29</v>
      </c>
      <c r="F459" s="4" t="s">
        <v>21</v>
      </c>
      <c r="G459" s="4" t="s">
        <v>1021</v>
      </c>
      <c r="H459" s="4" t="s">
        <v>31</v>
      </c>
      <c r="I459" s="4">
        <v>7</v>
      </c>
      <c r="J459" s="4" t="s">
        <v>93</v>
      </c>
      <c r="K459" s="4">
        <v>130</v>
      </c>
      <c r="L459" s="4">
        <v>4</v>
      </c>
      <c r="M459" s="4" t="s">
        <v>33</v>
      </c>
      <c r="N459" s="28">
        <v>0.766650090720727</v>
      </c>
      <c r="O459" s="4" t="s">
        <v>47</v>
      </c>
      <c r="P459" s="4">
        <v>520</v>
      </c>
      <c r="Q459" s="4">
        <v>121</v>
      </c>
      <c r="R459" s="4">
        <v>66</v>
      </c>
    </row>
    <row r="460" spans="1:18">
      <c r="A460" s="4" t="s">
        <v>1022</v>
      </c>
      <c r="B460" s="4" t="s">
        <v>1014</v>
      </c>
      <c r="C460" s="4" t="s">
        <v>114</v>
      </c>
      <c r="D460" s="27">
        <v>45256</v>
      </c>
      <c r="E460" s="4" t="s">
        <v>20</v>
      </c>
      <c r="F460" s="4" t="s">
        <v>21</v>
      </c>
      <c r="G460" s="4" t="s">
        <v>1023</v>
      </c>
      <c r="H460" s="4" t="s">
        <v>40</v>
      </c>
      <c r="I460" s="4">
        <v>7</v>
      </c>
      <c r="J460" s="4" t="s">
        <v>96</v>
      </c>
      <c r="K460" s="4">
        <v>72</v>
      </c>
      <c r="L460" s="4">
        <v>5</v>
      </c>
      <c r="M460" s="4" t="s">
        <v>25</v>
      </c>
      <c r="N460" s="28">
        <v>0.735292142030541</v>
      </c>
      <c r="O460" s="4" t="s">
        <v>26</v>
      </c>
      <c r="P460" s="4">
        <v>360</v>
      </c>
      <c r="Q460" s="4">
        <v>95</v>
      </c>
      <c r="R460" s="4">
        <v>32</v>
      </c>
    </row>
    <row r="461" spans="1:18">
      <c r="A461" s="4" t="s">
        <v>1024</v>
      </c>
      <c r="B461" s="4" t="s">
        <v>1016</v>
      </c>
      <c r="C461" s="4" t="s">
        <v>118</v>
      </c>
      <c r="D461" s="27">
        <v>45250</v>
      </c>
      <c r="E461" s="4" t="s">
        <v>29</v>
      </c>
      <c r="F461" s="4" t="s">
        <v>21</v>
      </c>
      <c r="G461" s="4" t="s">
        <v>1025</v>
      </c>
      <c r="H461" s="4" t="s">
        <v>23</v>
      </c>
      <c r="I461" s="4">
        <v>9</v>
      </c>
      <c r="J461" s="4" t="s">
        <v>58</v>
      </c>
      <c r="K461" s="4">
        <v>65</v>
      </c>
      <c r="L461" s="4">
        <v>9</v>
      </c>
      <c r="M461" s="4" t="s">
        <v>33</v>
      </c>
      <c r="N461" s="28">
        <v>0.445679965185695</v>
      </c>
      <c r="O461" s="4" t="s">
        <v>34</v>
      </c>
      <c r="P461" s="4">
        <v>585</v>
      </c>
      <c r="Q461" s="4">
        <v>324</v>
      </c>
      <c r="R461" s="4">
        <v>21</v>
      </c>
    </row>
    <row r="462" spans="1:18">
      <c r="A462" s="4" t="s">
        <v>1026</v>
      </c>
      <c r="B462" s="4" t="s">
        <v>1018</v>
      </c>
      <c r="C462" s="4" t="s">
        <v>122</v>
      </c>
      <c r="D462" s="27">
        <v>45238</v>
      </c>
      <c r="E462" s="4" t="s">
        <v>20</v>
      </c>
      <c r="F462" s="4" t="s">
        <v>21</v>
      </c>
      <c r="G462" s="4" t="s">
        <v>1027</v>
      </c>
      <c r="H462" s="4" t="s">
        <v>31</v>
      </c>
      <c r="I462" s="4">
        <v>10</v>
      </c>
      <c r="J462" s="4" t="s">
        <v>63</v>
      </c>
      <c r="K462" s="4">
        <v>250</v>
      </c>
      <c r="L462" s="4">
        <v>2</v>
      </c>
      <c r="M462" s="4" t="s">
        <v>25</v>
      </c>
      <c r="N462" s="28">
        <v>0.804917601319501</v>
      </c>
      <c r="O462" s="4" t="s">
        <v>42</v>
      </c>
      <c r="P462" s="4">
        <v>500</v>
      </c>
      <c r="Q462" s="4">
        <v>98</v>
      </c>
      <c r="R462" s="4">
        <v>133</v>
      </c>
    </row>
    <row r="463" spans="1:18">
      <c r="A463" s="4" t="s">
        <v>1028</v>
      </c>
      <c r="B463" s="4" t="s">
        <v>1020</v>
      </c>
      <c r="C463" s="4" t="s">
        <v>126</v>
      </c>
      <c r="D463" s="27">
        <v>45244</v>
      </c>
      <c r="E463" s="4" t="s">
        <v>29</v>
      </c>
      <c r="F463" s="4" t="s">
        <v>21</v>
      </c>
      <c r="G463" s="4" t="s">
        <v>1029</v>
      </c>
      <c r="H463" s="4" t="s">
        <v>40</v>
      </c>
      <c r="I463" s="4">
        <v>7</v>
      </c>
      <c r="J463" s="4" t="s">
        <v>67</v>
      </c>
      <c r="K463" s="4">
        <v>130</v>
      </c>
      <c r="L463" s="4">
        <v>4</v>
      </c>
      <c r="M463" s="4" t="s">
        <v>33</v>
      </c>
      <c r="N463" s="28">
        <v>0.632527242337506</v>
      </c>
      <c r="O463" s="4" t="s">
        <v>47</v>
      </c>
      <c r="P463" s="4">
        <v>520</v>
      </c>
      <c r="Q463" s="4">
        <v>191</v>
      </c>
      <c r="R463" s="4">
        <v>52</v>
      </c>
    </row>
    <row r="464" spans="1:18">
      <c r="A464" s="4" t="s">
        <v>1030</v>
      </c>
      <c r="B464" s="4" t="s">
        <v>1022</v>
      </c>
      <c r="C464" s="4" t="s">
        <v>130</v>
      </c>
      <c r="D464" s="27">
        <v>45257</v>
      </c>
      <c r="E464" s="4" t="s">
        <v>20</v>
      </c>
      <c r="F464" s="4" t="s">
        <v>21</v>
      </c>
      <c r="G464" s="4" t="s">
        <v>1031</v>
      </c>
      <c r="H464" s="4" t="s">
        <v>23</v>
      </c>
      <c r="I464" s="4">
        <v>7</v>
      </c>
      <c r="J464" s="4" t="s">
        <v>103</v>
      </c>
      <c r="K464" s="4">
        <v>72</v>
      </c>
      <c r="L464" s="4">
        <v>12</v>
      </c>
      <c r="M464" s="4" t="s">
        <v>25</v>
      </c>
      <c r="N464" s="28">
        <v>0.541724158410627</v>
      </c>
      <c r="O464" s="4" t="s">
        <v>26</v>
      </c>
      <c r="P464" s="4">
        <v>864</v>
      </c>
      <c r="Q464" s="4">
        <v>396</v>
      </c>
      <c r="R464" s="4">
        <v>42</v>
      </c>
    </row>
    <row r="465" spans="1:18">
      <c r="A465" s="4" t="s">
        <v>1032</v>
      </c>
      <c r="B465" s="4" t="s">
        <v>1024</v>
      </c>
      <c r="C465" s="4" t="s">
        <v>134</v>
      </c>
      <c r="D465" s="27">
        <v>45246</v>
      </c>
      <c r="E465" s="4" t="s">
        <v>29</v>
      </c>
      <c r="F465" s="4" t="s">
        <v>21</v>
      </c>
      <c r="G465" s="4" t="s">
        <v>1033</v>
      </c>
      <c r="H465" s="4" t="s">
        <v>31</v>
      </c>
      <c r="I465" s="4">
        <v>8</v>
      </c>
      <c r="J465" s="4" t="s">
        <v>108</v>
      </c>
      <c r="K465" s="4">
        <v>65</v>
      </c>
      <c r="L465" s="4">
        <v>11</v>
      </c>
      <c r="M465" s="4" t="s">
        <v>33</v>
      </c>
      <c r="N465" s="28">
        <v>0.514496229996707</v>
      </c>
      <c r="O465" s="4" t="s">
        <v>34</v>
      </c>
      <c r="P465" s="4">
        <v>715</v>
      </c>
      <c r="Q465" s="4">
        <v>347</v>
      </c>
      <c r="R465" s="4">
        <v>19</v>
      </c>
    </row>
    <row r="466" spans="1:18">
      <c r="A466" s="4" t="s">
        <v>1034</v>
      </c>
      <c r="B466" s="4" t="s">
        <v>1026</v>
      </c>
      <c r="C466" s="4" t="s">
        <v>139</v>
      </c>
      <c r="D466" s="27">
        <v>45238</v>
      </c>
      <c r="E466" s="4" t="s">
        <v>37</v>
      </c>
      <c r="F466" s="4" t="s">
        <v>21</v>
      </c>
      <c r="G466" s="4" t="s">
        <v>1035</v>
      </c>
      <c r="H466" s="4" t="s">
        <v>40</v>
      </c>
      <c r="I466" s="4">
        <v>8</v>
      </c>
      <c r="J466" s="4" t="s">
        <v>112</v>
      </c>
      <c r="K466" s="4">
        <v>250</v>
      </c>
      <c r="L466" s="4">
        <v>2</v>
      </c>
      <c r="M466" s="4" t="s">
        <v>25</v>
      </c>
      <c r="N466" s="28">
        <v>0.237525028475187</v>
      </c>
      <c r="O466" s="4" t="s">
        <v>42</v>
      </c>
      <c r="P466" s="4">
        <v>500</v>
      </c>
      <c r="Q466" s="4">
        <v>381</v>
      </c>
      <c r="R466" s="4">
        <v>153</v>
      </c>
    </row>
    <row r="467" spans="1:18">
      <c r="A467" s="4" t="s">
        <v>1036</v>
      </c>
      <c r="B467" s="4" t="s">
        <v>1028</v>
      </c>
      <c r="C467" s="4" t="s">
        <v>143</v>
      </c>
      <c r="D467" s="27">
        <v>45252</v>
      </c>
      <c r="E467" s="4" t="s">
        <v>20</v>
      </c>
      <c r="F467" s="4" t="s">
        <v>21</v>
      </c>
      <c r="G467" s="4" t="s">
        <v>1037</v>
      </c>
      <c r="H467" s="4" t="s">
        <v>23</v>
      </c>
      <c r="I467" s="4">
        <v>10</v>
      </c>
      <c r="J467" s="4" t="s">
        <v>116</v>
      </c>
      <c r="K467" s="4">
        <v>130</v>
      </c>
      <c r="L467" s="4">
        <v>4</v>
      </c>
      <c r="M467" s="4" t="s">
        <v>33</v>
      </c>
      <c r="N467" s="28">
        <v>0.991206100813583</v>
      </c>
      <c r="O467" s="4" t="s">
        <v>47</v>
      </c>
      <c r="P467" s="4">
        <v>520</v>
      </c>
      <c r="Q467" s="4">
        <v>5</v>
      </c>
      <c r="R467" s="4">
        <v>35</v>
      </c>
    </row>
    <row r="468" spans="1:18">
      <c r="A468" s="4" t="s">
        <v>1038</v>
      </c>
      <c r="B468" s="4" t="s">
        <v>1030</v>
      </c>
      <c r="C468" s="4" t="s">
        <v>146</v>
      </c>
      <c r="D468" s="27">
        <v>45231</v>
      </c>
      <c r="E468" s="4" t="s">
        <v>29</v>
      </c>
      <c r="F468" s="4" t="s">
        <v>21</v>
      </c>
      <c r="G468" s="4" t="s">
        <v>1039</v>
      </c>
      <c r="H468" s="4" t="s">
        <v>31</v>
      </c>
      <c r="I468" s="4">
        <v>9</v>
      </c>
      <c r="J468" s="4" t="s">
        <v>120</v>
      </c>
      <c r="K468" s="4">
        <v>60</v>
      </c>
      <c r="L468" s="4">
        <v>9</v>
      </c>
      <c r="M468" s="4" t="s">
        <v>25</v>
      </c>
      <c r="N468" s="28">
        <v>0.597058909818466</v>
      </c>
      <c r="O468" s="4" t="s">
        <v>68</v>
      </c>
      <c r="P468" s="4">
        <v>540</v>
      </c>
      <c r="Q468" s="4">
        <v>218</v>
      </c>
      <c r="R468" s="4">
        <v>18</v>
      </c>
    </row>
    <row r="469" spans="1:18">
      <c r="A469" s="4" t="s">
        <v>1040</v>
      </c>
      <c r="B469" s="4" t="s">
        <v>1032</v>
      </c>
      <c r="C469" s="4" t="s">
        <v>149</v>
      </c>
      <c r="D469" s="27">
        <v>45236</v>
      </c>
      <c r="E469" s="4" t="s">
        <v>29</v>
      </c>
      <c r="F469" s="4" t="s">
        <v>21</v>
      </c>
      <c r="G469" s="4" t="s">
        <v>1041</v>
      </c>
      <c r="H469" s="4" t="s">
        <v>40</v>
      </c>
      <c r="I469" s="4">
        <v>9</v>
      </c>
      <c r="J469" s="4" t="s">
        <v>124</v>
      </c>
      <c r="K469" s="4">
        <v>72</v>
      </c>
      <c r="L469" s="4">
        <v>3</v>
      </c>
      <c r="M469" s="4" t="s">
        <v>33</v>
      </c>
      <c r="N469" s="28">
        <v>0.471377918340276</v>
      </c>
      <c r="O469" s="4" t="s">
        <v>26</v>
      </c>
      <c r="P469" s="4">
        <v>216</v>
      </c>
      <c r="Q469" s="4">
        <v>114</v>
      </c>
      <c r="R469" s="4">
        <v>45</v>
      </c>
    </row>
    <row r="470" spans="1:18">
      <c r="A470" s="4" t="s">
        <v>1042</v>
      </c>
      <c r="B470" s="4" t="s">
        <v>1034</v>
      </c>
      <c r="C470" s="4" t="s">
        <v>152</v>
      </c>
      <c r="D470" s="27">
        <v>45260</v>
      </c>
      <c r="E470" s="4" t="s">
        <v>20</v>
      </c>
      <c r="F470" s="4" t="s">
        <v>21</v>
      </c>
      <c r="G470" s="4" t="s">
        <v>1043</v>
      </c>
      <c r="H470" s="4" t="s">
        <v>23</v>
      </c>
      <c r="I470" s="4">
        <v>7</v>
      </c>
      <c r="J470" s="4" t="s">
        <v>128</v>
      </c>
      <c r="K470" s="4">
        <v>65</v>
      </c>
      <c r="L470" s="4">
        <v>14</v>
      </c>
      <c r="M470" s="4" t="s">
        <v>25</v>
      </c>
      <c r="N470" s="28">
        <v>0.411817407807674</v>
      </c>
      <c r="O470" s="4" t="s">
        <v>34</v>
      </c>
      <c r="P470" s="4">
        <v>910</v>
      </c>
      <c r="Q470" s="4">
        <v>535</v>
      </c>
      <c r="R470" s="4">
        <v>18</v>
      </c>
    </row>
    <row r="471" spans="1:18">
      <c r="A471" s="4" t="s">
        <v>1044</v>
      </c>
      <c r="B471" s="4" t="s">
        <v>1036</v>
      </c>
      <c r="C471" s="4" t="s">
        <v>84</v>
      </c>
      <c r="D471" s="27">
        <v>45248</v>
      </c>
      <c r="E471" s="4" t="s">
        <v>29</v>
      </c>
      <c r="F471" s="4" t="s">
        <v>21</v>
      </c>
      <c r="G471" s="4" t="s">
        <v>1045</v>
      </c>
      <c r="H471" s="4" t="s">
        <v>31</v>
      </c>
      <c r="I471" s="4">
        <v>10</v>
      </c>
      <c r="J471" s="4" t="s">
        <v>63</v>
      </c>
      <c r="K471" s="4">
        <v>250</v>
      </c>
      <c r="L471" s="4">
        <v>3</v>
      </c>
      <c r="M471" s="4" t="s">
        <v>33</v>
      </c>
      <c r="N471" s="28">
        <v>0.0720148923279852</v>
      </c>
      <c r="O471" s="4" t="s">
        <v>42</v>
      </c>
      <c r="P471" s="4">
        <v>750</v>
      </c>
      <c r="Q471" s="4">
        <v>696</v>
      </c>
      <c r="R471" s="4">
        <v>75</v>
      </c>
    </row>
    <row r="472" spans="1:18">
      <c r="A472" s="4" t="s">
        <v>1046</v>
      </c>
      <c r="B472" s="4" t="s">
        <v>1038</v>
      </c>
      <c r="C472" s="4" t="s">
        <v>118</v>
      </c>
      <c r="D472" s="27">
        <v>45236</v>
      </c>
      <c r="E472" s="4" t="s">
        <v>20</v>
      </c>
      <c r="F472" s="4" t="s">
        <v>21</v>
      </c>
      <c r="G472" s="4" t="s">
        <v>1047</v>
      </c>
      <c r="H472" s="4" t="s">
        <v>40</v>
      </c>
      <c r="I472" s="4">
        <v>7</v>
      </c>
      <c r="J472" s="4" t="s">
        <v>67</v>
      </c>
      <c r="K472" s="4">
        <v>130</v>
      </c>
      <c r="L472" s="4">
        <v>7</v>
      </c>
      <c r="M472" s="4" t="s">
        <v>25</v>
      </c>
      <c r="N472" s="28">
        <v>0.284252285929809</v>
      </c>
      <c r="O472" s="4" t="s">
        <v>47</v>
      </c>
      <c r="P472" s="4">
        <v>910</v>
      </c>
      <c r="Q472" s="4">
        <v>651</v>
      </c>
      <c r="R472" s="4">
        <v>75</v>
      </c>
    </row>
    <row r="473" spans="1:18">
      <c r="A473" s="4" t="s">
        <v>1048</v>
      </c>
      <c r="B473" s="4" t="s">
        <v>1040</v>
      </c>
      <c r="C473" s="4" t="s">
        <v>139</v>
      </c>
      <c r="D473" s="27">
        <v>45248</v>
      </c>
      <c r="E473" s="4" t="s">
        <v>29</v>
      </c>
      <c r="F473" s="4" t="s">
        <v>21</v>
      </c>
      <c r="G473" s="4" t="s">
        <v>1049</v>
      </c>
      <c r="H473" s="4" t="s">
        <v>23</v>
      </c>
      <c r="I473" s="4">
        <v>7</v>
      </c>
      <c r="J473" s="4" t="s">
        <v>71</v>
      </c>
      <c r="K473" s="4">
        <v>72</v>
      </c>
      <c r="L473" s="4">
        <v>3</v>
      </c>
      <c r="M473" s="4" t="s">
        <v>33</v>
      </c>
      <c r="N473" s="28">
        <v>0.514736362789603</v>
      </c>
      <c r="O473" s="4" t="s">
        <v>26</v>
      </c>
      <c r="P473" s="4">
        <v>216</v>
      </c>
      <c r="Q473" s="4">
        <v>105</v>
      </c>
      <c r="R473" s="4">
        <v>28</v>
      </c>
    </row>
    <row r="474" spans="1:18">
      <c r="A474" s="4" t="s">
        <v>1050</v>
      </c>
      <c r="B474" s="4" t="s">
        <v>1042</v>
      </c>
      <c r="C474" s="4" t="s">
        <v>49</v>
      </c>
      <c r="D474" s="27">
        <v>45249</v>
      </c>
      <c r="E474" s="4" t="s">
        <v>29</v>
      </c>
      <c r="F474" s="4" t="s">
        <v>21</v>
      </c>
      <c r="G474" s="4" t="s">
        <v>1051</v>
      </c>
      <c r="H474" s="4" t="s">
        <v>31</v>
      </c>
      <c r="I474" s="4">
        <v>10</v>
      </c>
      <c r="J474" s="4" t="s">
        <v>132</v>
      </c>
      <c r="K474" s="4">
        <v>65</v>
      </c>
      <c r="L474" s="4">
        <v>7</v>
      </c>
      <c r="M474" s="4" t="s">
        <v>25</v>
      </c>
      <c r="N474" s="28">
        <v>0.843608536799598</v>
      </c>
      <c r="O474" s="4" t="s">
        <v>34</v>
      </c>
      <c r="P474" s="4">
        <v>455</v>
      </c>
      <c r="Q474" s="4">
        <v>71</v>
      </c>
      <c r="R474" s="4">
        <v>31</v>
      </c>
    </row>
    <row r="475" spans="1:18">
      <c r="A475" s="4" t="s">
        <v>1052</v>
      </c>
      <c r="B475" s="4" t="s">
        <v>1044</v>
      </c>
      <c r="C475" s="4" t="s">
        <v>91</v>
      </c>
      <c r="D475" s="27">
        <v>45259</v>
      </c>
      <c r="E475" s="4" t="s">
        <v>20</v>
      </c>
      <c r="F475" s="4" t="s">
        <v>21</v>
      </c>
      <c r="G475" s="4" t="s">
        <v>1053</v>
      </c>
      <c r="H475" s="4" t="s">
        <v>40</v>
      </c>
      <c r="I475" s="4">
        <v>7</v>
      </c>
      <c r="J475" s="4" t="s">
        <v>136</v>
      </c>
      <c r="K475" s="4">
        <v>250</v>
      </c>
      <c r="L475" s="4">
        <v>3</v>
      </c>
      <c r="M475" s="4" t="s">
        <v>33</v>
      </c>
      <c r="N475" s="28">
        <v>0.794105952422082</v>
      </c>
      <c r="O475" s="4" t="s">
        <v>42</v>
      </c>
      <c r="P475" s="4">
        <v>750</v>
      </c>
      <c r="Q475" s="4">
        <v>154</v>
      </c>
      <c r="R475" s="4">
        <v>90</v>
      </c>
    </row>
    <row r="476" spans="1:18">
      <c r="A476" s="4" t="s">
        <v>1054</v>
      </c>
      <c r="B476" s="4" t="s">
        <v>1046</v>
      </c>
      <c r="C476" s="4" t="s">
        <v>146</v>
      </c>
      <c r="D476" s="27">
        <v>45254</v>
      </c>
      <c r="E476" s="4" t="s">
        <v>29</v>
      </c>
      <c r="F476" s="4" t="s">
        <v>21</v>
      </c>
      <c r="G476" s="4" t="s">
        <v>1055</v>
      </c>
      <c r="H476" s="4" t="s">
        <v>23</v>
      </c>
      <c r="I476" s="4">
        <v>10</v>
      </c>
      <c r="J476" s="4" t="s">
        <v>141</v>
      </c>
      <c r="K476" s="4">
        <v>130</v>
      </c>
      <c r="L476" s="4">
        <v>4</v>
      </c>
      <c r="M476" s="4" t="s">
        <v>25</v>
      </c>
      <c r="N476" s="28">
        <v>0.437431030771508</v>
      </c>
      <c r="O476" s="4" t="s">
        <v>47</v>
      </c>
      <c r="P476" s="4">
        <v>520</v>
      </c>
      <c r="Q476" s="4">
        <v>293</v>
      </c>
      <c r="R476" s="4">
        <v>49</v>
      </c>
    </row>
    <row r="477" spans="1:18">
      <c r="A477" s="4" t="s">
        <v>1056</v>
      </c>
      <c r="B477" s="4" t="s">
        <v>1048</v>
      </c>
      <c r="C477" s="4" t="s">
        <v>149</v>
      </c>
      <c r="D477" s="27">
        <v>45242</v>
      </c>
      <c r="E477" s="4" t="s">
        <v>29</v>
      </c>
      <c r="F477" s="4" t="s">
        <v>21</v>
      </c>
      <c r="G477" s="4" t="s">
        <v>1057</v>
      </c>
      <c r="H477" s="4" t="s">
        <v>31</v>
      </c>
      <c r="I477" s="4">
        <v>9</v>
      </c>
      <c r="J477" s="4" t="s">
        <v>24</v>
      </c>
      <c r="K477" s="4">
        <v>60</v>
      </c>
      <c r="L477" s="4">
        <v>7</v>
      </c>
      <c r="M477" s="4" t="s">
        <v>33</v>
      </c>
      <c r="N477" s="28">
        <v>0.624142858513478</v>
      </c>
      <c r="O477" s="4" t="s">
        <v>68</v>
      </c>
      <c r="P477" s="4">
        <v>420</v>
      </c>
      <c r="Q477" s="4">
        <v>158</v>
      </c>
      <c r="R477" s="4">
        <v>26</v>
      </c>
    </row>
    <row r="478" spans="1:18">
      <c r="A478" s="4" t="s">
        <v>1058</v>
      </c>
      <c r="B478" s="4" t="s">
        <v>1050</v>
      </c>
      <c r="C478" s="4" t="s">
        <v>171</v>
      </c>
      <c r="D478" s="27">
        <v>45251</v>
      </c>
      <c r="E478" s="4" t="s">
        <v>20</v>
      </c>
      <c r="F478" s="4" t="s">
        <v>21</v>
      </c>
      <c r="G478" s="4" t="s">
        <v>1059</v>
      </c>
      <c r="H478" s="4" t="s">
        <v>40</v>
      </c>
      <c r="I478" s="4">
        <v>10</v>
      </c>
      <c r="J478" s="4" t="s">
        <v>32</v>
      </c>
      <c r="K478" s="4">
        <v>95</v>
      </c>
      <c r="L478" s="4">
        <v>4</v>
      </c>
      <c r="M478" s="4" t="s">
        <v>33</v>
      </c>
      <c r="N478" s="28">
        <v>0.88664559134768</v>
      </c>
      <c r="O478" s="4" t="s">
        <v>104</v>
      </c>
      <c r="P478" s="4">
        <v>380</v>
      </c>
      <c r="Q478" s="4">
        <v>43</v>
      </c>
      <c r="R478" s="4">
        <v>48</v>
      </c>
    </row>
    <row r="479" spans="1:18">
      <c r="A479" s="4" t="s">
        <v>1060</v>
      </c>
      <c r="B479" s="4" t="s">
        <v>1052</v>
      </c>
      <c r="C479" s="4" t="s">
        <v>316</v>
      </c>
      <c r="D479" s="27">
        <v>45244</v>
      </c>
      <c r="E479" s="4" t="s">
        <v>29</v>
      </c>
      <c r="F479" s="4" t="s">
        <v>21</v>
      </c>
      <c r="G479" s="4" t="s">
        <v>1061</v>
      </c>
      <c r="H479" s="4" t="s">
        <v>23</v>
      </c>
      <c r="I479" s="4">
        <v>7</v>
      </c>
      <c r="J479" s="4" t="s">
        <v>86</v>
      </c>
      <c r="K479" s="4">
        <v>72</v>
      </c>
      <c r="L479" s="4">
        <v>6</v>
      </c>
      <c r="M479" s="4" t="s">
        <v>33</v>
      </c>
      <c r="N479" s="28">
        <v>0.183592732904316</v>
      </c>
      <c r="O479" s="4" t="s">
        <v>26</v>
      </c>
      <c r="P479" s="4">
        <v>432</v>
      </c>
      <c r="Q479" s="4">
        <v>353</v>
      </c>
      <c r="R479" s="4">
        <v>19</v>
      </c>
    </row>
    <row r="480" spans="1:18">
      <c r="A480" s="4" t="s">
        <v>1062</v>
      </c>
      <c r="B480" s="4" t="s">
        <v>1054</v>
      </c>
      <c r="C480" s="4" t="s">
        <v>176</v>
      </c>
      <c r="D480" s="27">
        <v>45243</v>
      </c>
      <c r="E480" s="4" t="s">
        <v>20</v>
      </c>
      <c r="F480" s="4" t="s">
        <v>38</v>
      </c>
      <c r="G480" s="4" t="s">
        <v>1063</v>
      </c>
      <c r="H480" s="4" t="s">
        <v>31</v>
      </c>
      <c r="I480" s="4">
        <v>10</v>
      </c>
      <c r="J480" s="4" t="s">
        <v>89</v>
      </c>
      <c r="K480" s="4">
        <v>65</v>
      </c>
      <c r="L480" s="4">
        <v>5</v>
      </c>
      <c r="M480" s="4" t="s">
        <v>33</v>
      </c>
      <c r="N480" s="28">
        <v>0.159065065313217</v>
      </c>
      <c r="O480" s="4" t="s">
        <v>34</v>
      </c>
      <c r="P480" s="4">
        <v>325</v>
      </c>
      <c r="Q480" s="4">
        <v>273</v>
      </c>
      <c r="R480" s="4">
        <v>37</v>
      </c>
    </row>
    <row r="481" spans="1:18">
      <c r="A481" s="4" t="s">
        <v>1064</v>
      </c>
      <c r="B481" s="4" t="s">
        <v>1056</v>
      </c>
      <c r="C481" s="4" t="s">
        <v>179</v>
      </c>
      <c r="D481" s="27">
        <v>45251</v>
      </c>
      <c r="E481" s="4" t="s">
        <v>29</v>
      </c>
      <c r="F481" s="4" t="s">
        <v>21</v>
      </c>
      <c r="G481" s="4" t="s">
        <v>1065</v>
      </c>
      <c r="H481" s="4" t="s">
        <v>40</v>
      </c>
      <c r="I481" s="4">
        <v>10</v>
      </c>
      <c r="J481" s="4" t="s">
        <v>93</v>
      </c>
      <c r="K481" s="4">
        <v>250</v>
      </c>
      <c r="L481" s="4">
        <v>2</v>
      </c>
      <c r="M481" s="4" t="s">
        <v>33</v>
      </c>
      <c r="N481" s="28">
        <v>0.294667470141062</v>
      </c>
      <c r="O481" s="4" t="s">
        <v>42</v>
      </c>
      <c r="P481" s="4">
        <v>500</v>
      </c>
      <c r="Q481" s="4">
        <v>353</v>
      </c>
      <c r="R481" s="4">
        <v>130</v>
      </c>
    </row>
    <row r="482" spans="1:18">
      <c r="A482" s="4" t="s">
        <v>1066</v>
      </c>
      <c r="B482" s="4" t="s">
        <v>1058</v>
      </c>
      <c r="C482" s="4" t="s">
        <v>182</v>
      </c>
      <c r="D482" s="27">
        <v>45237</v>
      </c>
      <c r="E482" s="4" t="s">
        <v>20</v>
      </c>
      <c r="F482" s="4" t="s">
        <v>21</v>
      </c>
      <c r="G482" s="4" t="s">
        <v>1067</v>
      </c>
      <c r="H482" s="4" t="s">
        <v>23</v>
      </c>
      <c r="I482" s="4">
        <v>8</v>
      </c>
      <c r="J482" s="4" t="s">
        <v>96</v>
      </c>
      <c r="K482" s="4">
        <v>130</v>
      </c>
      <c r="L482" s="4">
        <v>2</v>
      </c>
      <c r="M482" s="4" t="s">
        <v>25</v>
      </c>
      <c r="N482" s="28">
        <v>0.354141186059301</v>
      </c>
      <c r="O482" s="4" t="s">
        <v>47</v>
      </c>
      <c r="P482" s="4">
        <v>260</v>
      </c>
      <c r="Q482" s="4">
        <v>168</v>
      </c>
      <c r="R482" s="4">
        <v>60</v>
      </c>
    </row>
    <row r="483" spans="1:18">
      <c r="A483" s="4" t="s">
        <v>1068</v>
      </c>
      <c r="B483" s="4" t="s">
        <v>1060</v>
      </c>
      <c r="C483" s="4" t="s">
        <v>185</v>
      </c>
      <c r="D483" s="27">
        <v>45256</v>
      </c>
      <c r="E483" s="4" t="s">
        <v>29</v>
      </c>
      <c r="F483" s="4" t="s">
        <v>21</v>
      </c>
      <c r="G483" s="4" t="s">
        <v>1069</v>
      </c>
      <c r="H483" s="4" t="s">
        <v>31</v>
      </c>
      <c r="I483" s="4">
        <v>10</v>
      </c>
      <c r="J483" s="4" t="s">
        <v>58</v>
      </c>
      <c r="K483" s="4">
        <v>72</v>
      </c>
      <c r="L483" s="4">
        <v>4</v>
      </c>
      <c r="M483" s="4" t="s">
        <v>33</v>
      </c>
      <c r="N483" s="28">
        <v>0.404638315947507</v>
      </c>
      <c r="O483" s="4" t="s">
        <v>26</v>
      </c>
      <c r="P483" s="4">
        <v>288</v>
      </c>
      <c r="Q483" s="4">
        <v>171</v>
      </c>
      <c r="R483" s="4">
        <v>32</v>
      </c>
    </row>
    <row r="484" spans="1:18">
      <c r="A484" s="4" t="s">
        <v>1070</v>
      </c>
      <c r="B484" s="4" t="s">
        <v>1062</v>
      </c>
      <c r="C484" s="4" t="s">
        <v>188</v>
      </c>
      <c r="D484" s="27">
        <v>45255</v>
      </c>
      <c r="E484" s="4" t="s">
        <v>29</v>
      </c>
      <c r="F484" s="4" t="s">
        <v>21</v>
      </c>
      <c r="G484" s="4" t="s">
        <v>1071</v>
      </c>
      <c r="H484" s="4" t="s">
        <v>40</v>
      </c>
      <c r="I484" s="4">
        <v>9</v>
      </c>
      <c r="J484" s="4" t="s">
        <v>63</v>
      </c>
      <c r="K484" s="4">
        <v>65</v>
      </c>
      <c r="L484" s="4">
        <v>10</v>
      </c>
      <c r="M484" s="4" t="s">
        <v>25</v>
      </c>
      <c r="N484" s="28">
        <v>0.56828189926737</v>
      </c>
      <c r="O484" s="4" t="s">
        <v>34</v>
      </c>
      <c r="P484" s="4">
        <v>650</v>
      </c>
      <c r="Q484" s="4">
        <v>281</v>
      </c>
      <c r="R484" s="4">
        <v>38</v>
      </c>
    </row>
    <row r="485" spans="1:18">
      <c r="A485" s="4" t="s">
        <v>1072</v>
      </c>
      <c r="B485" s="4" t="s">
        <v>1064</v>
      </c>
      <c r="C485" s="4" t="s">
        <v>191</v>
      </c>
      <c r="D485" s="27">
        <v>45235</v>
      </c>
      <c r="E485" s="4" t="s">
        <v>20</v>
      </c>
      <c r="F485" s="4" t="s">
        <v>21</v>
      </c>
      <c r="G485" s="4" t="s">
        <v>1073</v>
      </c>
      <c r="H485" s="4" t="s">
        <v>23</v>
      </c>
      <c r="I485" s="4">
        <v>9</v>
      </c>
      <c r="J485" s="4" t="s">
        <v>67</v>
      </c>
      <c r="K485" s="4">
        <v>250</v>
      </c>
      <c r="L485" s="4">
        <v>1</v>
      </c>
      <c r="M485" s="4" t="s">
        <v>33</v>
      </c>
      <c r="N485" s="28">
        <v>0.684158399201113</v>
      </c>
      <c r="O485" s="4" t="s">
        <v>42</v>
      </c>
      <c r="P485" s="4">
        <v>250</v>
      </c>
      <c r="Q485" s="4">
        <v>79</v>
      </c>
      <c r="R485" s="4">
        <v>88</v>
      </c>
    </row>
    <row r="486" spans="1:18">
      <c r="A486" s="4" t="s">
        <v>1074</v>
      </c>
      <c r="B486" s="4" t="s">
        <v>1066</v>
      </c>
      <c r="C486" s="4" t="s">
        <v>114</v>
      </c>
      <c r="D486" s="27">
        <v>45234</v>
      </c>
      <c r="E486" s="4" t="s">
        <v>29</v>
      </c>
      <c r="F486" s="4" t="s">
        <v>38</v>
      </c>
      <c r="G486" s="4" t="s">
        <v>1075</v>
      </c>
      <c r="H486" s="4" t="s">
        <v>31</v>
      </c>
      <c r="I486" s="4">
        <v>9</v>
      </c>
      <c r="J486" s="4" t="s">
        <v>103</v>
      </c>
      <c r="K486" s="4">
        <v>130</v>
      </c>
      <c r="L486" s="4">
        <v>6</v>
      </c>
      <c r="M486" s="4" t="s">
        <v>25</v>
      </c>
      <c r="N486" s="28">
        <v>0.479009167474185</v>
      </c>
      <c r="O486" s="4" t="s">
        <v>47</v>
      </c>
      <c r="P486" s="4">
        <v>780</v>
      </c>
      <c r="Q486" s="4">
        <v>406</v>
      </c>
      <c r="R486" s="4">
        <v>57</v>
      </c>
    </row>
    <row r="487" spans="1:18">
      <c r="A487" s="4" t="s">
        <v>1076</v>
      </c>
      <c r="B487" s="4" t="s">
        <v>1068</v>
      </c>
      <c r="C487" s="4" t="s">
        <v>118</v>
      </c>
      <c r="D487" s="27">
        <v>45232</v>
      </c>
      <c r="E487" s="4" t="s">
        <v>20</v>
      </c>
      <c r="F487" s="4" t="s">
        <v>21</v>
      </c>
      <c r="G487" s="4" t="s">
        <v>1077</v>
      </c>
      <c r="H487" s="4" t="s">
        <v>40</v>
      </c>
      <c r="I487" s="4">
        <v>10</v>
      </c>
      <c r="J487" s="4" t="s">
        <v>108</v>
      </c>
      <c r="K487" s="4">
        <v>60</v>
      </c>
      <c r="L487" s="4">
        <v>4</v>
      </c>
      <c r="M487" s="4" t="s">
        <v>33</v>
      </c>
      <c r="N487" s="28">
        <v>0.890457227464887</v>
      </c>
      <c r="O487" s="4" t="s">
        <v>68</v>
      </c>
      <c r="P487" s="4">
        <v>240</v>
      </c>
      <c r="Q487" s="4">
        <v>26</v>
      </c>
      <c r="R487" s="4">
        <v>28</v>
      </c>
    </row>
    <row r="488" spans="1:18">
      <c r="A488" s="4" t="s">
        <v>1078</v>
      </c>
      <c r="B488" s="4" t="s">
        <v>1070</v>
      </c>
      <c r="C488" s="4" t="s">
        <v>122</v>
      </c>
      <c r="D488" s="27">
        <v>45247</v>
      </c>
      <c r="E488" s="4" t="s">
        <v>29</v>
      </c>
      <c r="F488" s="4" t="s">
        <v>21</v>
      </c>
      <c r="G488" s="4" t="s">
        <v>1079</v>
      </c>
      <c r="H488" s="4" t="s">
        <v>23</v>
      </c>
      <c r="I488" s="4">
        <v>9</v>
      </c>
      <c r="J488" s="4" t="s">
        <v>112</v>
      </c>
      <c r="K488" s="4">
        <v>72</v>
      </c>
      <c r="L488" s="4">
        <v>7</v>
      </c>
      <c r="M488" s="4" t="s">
        <v>25</v>
      </c>
      <c r="N488" s="28">
        <v>0.509499718805001</v>
      </c>
      <c r="O488" s="4" t="s">
        <v>26</v>
      </c>
      <c r="P488" s="4">
        <v>504</v>
      </c>
      <c r="Q488" s="4">
        <v>247</v>
      </c>
      <c r="R488" s="4">
        <v>29</v>
      </c>
    </row>
    <row r="489" spans="1:18">
      <c r="A489" s="4" t="s">
        <v>1080</v>
      </c>
      <c r="B489" s="4" t="s">
        <v>1072</v>
      </c>
      <c r="C489" s="4" t="s">
        <v>126</v>
      </c>
      <c r="D489" s="27">
        <v>45247</v>
      </c>
      <c r="E489" s="4" t="s">
        <v>20</v>
      </c>
      <c r="F489" s="4" t="s">
        <v>21</v>
      </c>
      <c r="G489" s="4" t="s">
        <v>1081</v>
      </c>
      <c r="H489" s="4" t="s">
        <v>31</v>
      </c>
      <c r="I489" s="4">
        <v>10</v>
      </c>
      <c r="J489" s="4" t="s">
        <v>116</v>
      </c>
      <c r="K489" s="4">
        <v>65</v>
      </c>
      <c r="L489" s="4">
        <v>12</v>
      </c>
      <c r="M489" s="4" t="s">
        <v>33</v>
      </c>
      <c r="N489" s="28">
        <v>0.78361211804502</v>
      </c>
      <c r="O489" s="4" t="s">
        <v>34</v>
      </c>
      <c r="P489" s="4">
        <v>780</v>
      </c>
      <c r="Q489" s="4">
        <v>169</v>
      </c>
      <c r="R489" s="4">
        <v>22</v>
      </c>
    </row>
    <row r="490" spans="1:18">
      <c r="A490" s="4" t="s">
        <v>1082</v>
      </c>
      <c r="B490" s="4" t="s">
        <v>1074</v>
      </c>
      <c r="C490" s="4" t="s">
        <v>130</v>
      </c>
      <c r="D490" s="27">
        <v>45233</v>
      </c>
      <c r="E490" s="4" t="s">
        <v>29</v>
      </c>
      <c r="F490" s="4" t="s">
        <v>21</v>
      </c>
      <c r="G490" s="4" t="s">
        <v>1083</v>
      </c>
      <c r="H490" s="4" t="s">
        <v>40</v>
      </c>
      <c r="I490" s="4">
        <v>9</v>
      </c>
      <c r="J490" s="4" t="s">
        <v>120</v>
      </c>
      <c r="K490" s="4">
        <v>250</v>
      </c>
      <c r="L490" s="4">
        <v>1</v>
      </c>
      <c r="M490" s="4" t="s">
        <v>25</v>
      </c>
      <c r="N490" s="28">
        <v>0.0659692015479053</v>
      </c>
      <c r="O490" s="4" t="s">
        <v>42</v>
      </c>
      <c r="P490" s="4">
        <v>250</v>
      </c>
      <c r="Q490" s="4">
        <v>234</v>
      </c>
      <c r="R490" s="4">
        <v>153</v>
      </c>
    </row>
    <row r="491" spans="1:18">
      <c r="A491" s="4" t="s">
        <v>1084</v>
      </c>
      <c r="B491" s="4" t="s">
        <v>1076</v>
      </c>
      <c r="C491" s="4" t="s">
        <v>134</v>
      </c>
      <c r="D491" s="27">
        <v>45248</v>
      </c>
      <c r="E491" s="4" t="s">
        <v>37</v>
      </c>
      <c r="F491" s="4" t="s">
        <v>21</v>
      </c>
      <c r="G491" s="4" t="s">
        <v>1085</v>
      </c>
      <c r="H491" s="4" t="s">
        <v>23</v>
      </c>
      <c r="I491" s="4">
        <v>8</v>
      </c>
      <c r="J491" s="4" t="s">
        <v>124</v>
      </c>
      <c r="K491" s="4">
        <v>130</v>
      </c>
      <c r="L491" s="4">
        <v>6</v>
      </c>
      <c r="M491" s="4" t="s">
        <v>33</v>
      </c>
      <c r="N491" s="28">
        <v>0.178580149104949</v>
      </c>
      <c r="O491" s="4" t="s">
        <v>47</v>
      </c>
      <c r="P491" s="4">
        <v>780</v>
      </c>
      <c r="Q491" s="4">
        <v>641</v>
      </c>
      <c r="R491" s="4">
        <v>62</v>
      </c>
    </row>
    <row r="492" spans="1:18">
      <c r="A492" s="4" t="s">
        <v>1086</v>
      </c>
      <c r="B492" s="4" t="s">
        <v>1078</v>
      </c>
      <c r="C492" s="4" t="s">
        <v>139</v>
      </c>
      <c r="D492" s="27">
        <v>45236</v>
      </c>
      <c r="E492" s="4" t="s">
        <v>20</v>
      </c>
      <c r="F492" s="4" t="s">
        <v>21</v>
      </c>
      <c r="G492" s="4" t="s">
        <v>1087</v>
      </c>
      <c r="H492" s="4" t="s">
        <v>31</v>
      </c>
      <c r="I492" s="4">
        <v>7</v>
      </c>
      <c r="J492" s="4" t="s">
        <v>128</v>
      </c>
      <c r="K492" s="4">
        <v>72</v>
      </c>
      <c r="L492" s="4">
        <v>4</v>
      </c>
      <c r="M492" s="4" t="s">
        <v>25</v>
      </c>
      <c r="N492" s="28">
        <v>0.435878559528053</v>
      </c>
      <c r="O492" s="4" t="s">
        <v>26</v>
      </c>
      <c r="P492" s="4">
        <v>288</v>
      </c>
      <c r="Q492" s="4">
        <v>162</v>
      </c>
      <c r="R492" s="4">
        <v>45</v>
      </c>
    </row>
    <row r="493" spans="1:18">
      <c r="A493" s="4" t="s">
        <v>1088</v>
      </c>
      <c r="B493" s="4" t="s">
        <v>1080</v>
      </c>
      <c r="C493" s="4" t="s">
        <v>143</v>
      </c>
      <c r="D493" s="27">
        <v>45238</v>
      </c>
      <c r="E493" s="4" t="s">
        <v>29</v>
      </c>
      <c r="F493" s="4" t="s">
        <v>21</v>
      </c>
      <c r="G493" s="4" t="s">
        <v>1089</v>
      </c>
      <c r="H493" s="4" t="s">
        <v>40</v>
      </c>
      <c r="I493" s="4">
        <v>10</v>
      </c>
      <c r="J493" s="4" t="s">
        <v>63</v>
      </c>
      <c r="K493" s="4">
        <v>65</v>
      </c>
      <c r="L493" s="4">
        <v>10</v>
      </c>
      <c r="M493" s="4" t="s">
        <v>33</v>
      </c>
      <c r="N493" s="28">
        <v>0.740403386444935</v>
      </c>
      <c r="O493" s="4" t="s">
        <v>34</v>
      </c>
      <c r="P493" s="4">
        <v>650</v>
      </c>
      <c r="Q493" s="4">
        <v>169</v>
      </c>
      <c r="R493" s="4">
        <v>29</v>
      </c>
    </row>
    <row r="494" spans="1:18">
      <c r="A494" s="4" t="s">
        <v>1090</v>
      </c>
      <c r="B494" s="4" t="s">
        <v>1082</v>
      </c>
      <c r="C494" s="4" t="s">
        <v>146</v>
      </c>
      <c r="D494" s="27">
        <v>45258</v>
      </c>
      <c r="E494" s="4" t="s">
        <v>29</v>
      </c>
      <c r="F494" s="4" t="s">
        <v>21</v>
      </c>
      <c r="G494" s="4" t="s">
        <v>1091</v>
      </c>
      <c r="H494" s="4" t="s">
        <v>23</v>
      </c>
      <c r="I494" s="4">
        <v>7</v>
      </c>
      <c r="J494" s="4" t="s">
        <v>67</v>
      </c>
      <c r="K494" s="4">
        <v>250</v>
      </c>
      <c r="L494" s="4">
        <v>4</v>
      </c>
      <c r="M494" s="4" t="s">
        <v>25</v>
      </c>
      <c r="N494" s="28">
        <v>0.541095713457448</v>
      </c>
      <c r="O494" s="4" t="s">
        <v>42</v>
      </c>
      <c r="P494" s="4">
        <v>1000</v>
      </c>
      <c r="Q494" s="4">
        <v>459</v>
      </c>
      <c r="R494" s="4">
        <v>158</v>
      </c>
    </row>
    <row r="495" spans="1:18">
      <c r="A495" s="4" t="s">
        <v>1092</v>
      </c>
      <c r="B495" s="4" t="s">
        <v>1084</v>
      </c>
      <c r="C495" s="4" t="s">
        <v>149</v>
      </c>
      <c r="D495" s="27">
        <v>45249</v>
      </c>
      <c r="E495" s="4" t="s">
        <v>20</v>
      </c>
      <c r="F495" s="4" t="s">
        <v>21</v>
      </c>
      <c r="G495" s="4" t="s">
        <v>1093</v>
      </c>
      <c r="H495" s="4" t="s">
        <v>31</v>
      </c>
      <c r="I495" s="4">
        <v>8</v>
      </c>
      <c r="J495" s="4" t="s">
        <v>71</v>
      </c>
      <c r="K495" s="4">
        <v>130</v>
      </c>
      <c r="L495" s="4">
        <v>3</v>
      </c>
      <c r="M495" s="4" t="s">
        <v>33</v>
      </c>
      <c r="N495" s="28">
        <v>0.712711727013551</v>
      </c>
      <c r="O495" s="4" t="s">
        <v>47</v>
      </c>
      <c r="P495" s="4">
        <v>390</v>
      </c>
      <c r="Q495" s="4">
        <v>112</v>
      </c>
      <c r="R495" s="4">
        <v>64</v>
      </c>
    </row>
    <row r="496" spans="1:18">
      <c r="A496" s="4" t="s">
        <v>1094</v>
      </c>
      <c r="B496" s="4" t="s">
        <v>1086</v>
      </c>
      <c r="C496" s="4" t="s">
        <v>203</v>
      </c>
      <c r="D496" s="27">
        <v>45240</v>
      </c>
      <c r="E496" s="4" t="s">
        <v>29</v>
      </c>
      <c r="F496" s="4" t="s">
        <v>21</v>
      </c>
      <c r="G496" s="4" t="s">
        <v>1095</v>
      </c>
      <c r="H496" s="4" t="s">
        <v>40</v>
      </c>
      <c r="I496" s="4">
        <v>9</v>
      </c>
      <c r="J496" s="4" t="s">
        <v>132</v>
      </c>
      <c r="K496" s="4">
        <v>60</v>
      </c>
      <c r="L496" s="4">
        <v>13</v>
      </c>
      <c r="M496" s="4" t="s">
        <v>25</v>
      </c>
      <c r="N496" s="28">
        <v>0.662484099964731</v>
      </c>
      <c r="O496" s="4" t="s">
        <v>68</v>
      </c>
      <c r="P496" s="4">
        <v>780</v>
      </c>
      <c r="Q496" s="4">
        <v>263</v>
      </c>
      <c r="R496" s="4">
        <v>30</v>
      </c>
    </row>
    <row r="497" spans="1:18">
      <c r="A497" s="4" t="s">
        <v>1096</v>
      </c>
      <c r="B497" s="4" t="s">
        <v>1088</v>
      </c>
      <c r="C497" s="4" t="s">
        <v>28</v>
      </c>
      <c r="D497" s="27">
        <v>45253</v>
      </c>
      <c r="E497" s="4" t="s">
        <v>20</v>
      </c>
      <c r="F497" s="4" t="s">
        <v>21</v>
      </c>
      <c r="G497" s="4" t="s">
        <v>1097</v>
      </c>
      <c r="H497" s="4" t="s">
        <v>23</v>
      </c>
      <c r="I497" s="4">
        <v>9</v>
      </c>
      <c r="J497" s="4" t="s">
        <v>136</v>
      </c>
      <c r="K497" s="4">
        <v>95</v>
      </c>
      <c r="L497" s="4">
        <v>4</v>
      </c>
      <c r="M497" s="4" t="s">
        <v>33</v>
      </c>
      <c r="N497" s="28">
        <v>0.513006410409827</v>
      </c>
      <c r="O497" s="4" t="s">
        <v>104</v>
      </c>
      <c r="P497" s="4">
        <v>380</v>
      </c>
      <c r="Q497" s="4">
        <v>185</v>
      </c>
      <c r="R497" s="4">
        <v>50</v>
      </c>
    </row>
    <row r="498" spans="1:18">
      <c r="A498" s="4" t="s">
        <v>1098</v>
      </c>
      <c r="B498" s="4" t="s">
        <v>1090</v>
      </c>
      <c r="C498" s="4" t="s">
        <v>36</v>
      </c>
      <c r="D498" s="27">
        <v>45257</v>
      </c>
      <c r="E498" s="4" t="s">
        <v>29</v>
      </c>
      <c r="F498" s="4" t="s">
        <v>21</v>
      </c>
      <c r="G498" s="4" t="s">
        <v>1099</v>
      </c>
      <c r="H498" s="4" t="s">
        <v>31</v>
      </c>
      <c r="I498" s="4">
        <v>9</v>
      </c>
      <c r="J498" s="4" t="s">
        <v>141</v>
      </c>
      <c r="K498" s="4">
        <v>72</v>
      </c>
      <c r="L498" s="4">
        <v>3</v>
      </c>
      <c r="M498" s="4" t="s">
        <v>25</v>
      </c>
      <c r="N498" s="28">
        <v>0.849511249377969</v>
      </c>
      <c r="O498" s="4" t="s">
        <v>26</v>
      </c>
      <c r="P498" s="4">
        <v>216</v>
      </c>
      <c r="Q498" s="4">
        <v>33</v>
      </c>
      <c r="R498" s="4">
        <v>35</v>
      </c>
    </row>
    <row r="499" spans="1:18">
      <c r="A499" s="4" t="s">
        <v>1100</v>
      </c>
      <c r="B499" s="4" t="s">
        <v>1092</v>
      </c>
      <c r="C499" s="4" t="s">
        <v>44</v>
      </c>
      <c r="D499" s="27">
        <v>45248</v>
      </c>
      <c r="E499" s="4" t="s">
        <v>29</v>
      </c>
      <c r="F499" s="4" t="s">
        <v>21</v>
      </c>
      <c r="G499" s="4" t="s">
        <v>1101</v>
      </c>
      <c r="H499" s="4" t="s">
        <v>40</v>
      </c>
      <c r="I499" s="4">
        <v>9</v>
      </c>
      <c r="J499" s="4" t="s">
        <v>24</v>
      </c>
      <c r="K499" s="4">
        <v>65</v>
      </c>
      <c r="L499" s="4">
        <v>12</v>
      </c>
      <c r="M499" s="4" t="s">
        <v>33</v>
      </c>
      <c r="N499" s="28">
        <v>0.577865959092518</v>
      </c>
      <c r="O499" s="4" t="s">
        <v>34</v>
      </c>
      <c r="P499" s="4">
        <v>780</v>
      </c>
      <c r="Q499" s="4">
        <v>329</v>
      </c>
      <c r="R499" s="4">
        <v>33</v>
      </c>
    </row>
    <row r="500" spans="1:18">
      <c r="A500" s="4" t="s">
        <v>1102</v>
      </c>
      <c r="B500" s="4" t="s">
        <v>1094</v>
      </c>
      <c r="C500" s="4" t="s">
        <v>49</v>
      </c>
      <c r="D500" s="27">
        <v>45249</v>
      </c>
      <c r="E500" s="4" t="s">
        <v>20</v>
      </c>
      <c r="F500" s="4" t="s">
        <v>21</v>
      </c>
      <c r="G500" s="4" t="s">
        <v>1103</v>
      </c>
      <c r="H500" s="4" t="s">
        <v>23</v>
      </c>
      <c r="I500" s="4">
        <v>9</v>
      </c>
      <c r="J500" s="4" t="s">
        <v>32</v>
      </c>
      <c r="K500" s="4">
        <v>250</v>
      </c>
      <c r="L500" s="4">
        <v>4</v>
      </c>
      <c r="M500" s="4" t="s">
        <v>33</v>
      </c>
      <c r="N500" s="28">
        <v>0.0190279766540243</v>
      </c>
      <c r="O500" s="4" t="s">
        <v>42</v>
      </c>
      <c r="P500" s="4">
        <v>1000</v>
      </c>
      <c r="Q500" s="4">
        <v>981</v>
      </c>
      <c r="R500" s="4">
        <v>120</v>
      </c>
    </row>
    <row r="501" spans="1:18">
      <c r="A501" s="4" t="s">
        <v>1104</v>
      </c>
      <c r="B501" s="4" t="s">
        <v>1096</v>
      </c>
      <c r="C501" s="4" t="s">
        <v>53</v>
      </c>
      <c r="D501" s="27">
        <v>45241</v>
      </c>
      <c r="E501" s="4" t="s">
        <v>29</v>
      </c>
      <c r="F501" s="4" t="s">
        <v>21</v>
      </c>
      <c r="G501" s="4" t="s">
        <v>1105</v>
      </c>
      <c r="H501" s="4" t="s">
        <v>23</v>
      </c>
      <c r="I501" s="4">
        <v>7</v>
      </c>
      <c r="J501" s="4" t="s">
        <v>86</v>
      </c>
      <c r="K501" s="4">
        <v>72</v>
      </c>
      <c r="L501" s="4">
        <v>9</v>
      </c>
      <c r="M501" s="4" t="s">
        <v>25</v>
      </c>
      <c r="N501" s="28">
        <f ca="1" xml:space="preserve">RAND()</f>
        <v>0.686449014354644</v>
      </c>
      <c r="O501" s="4" t="s">
        <v>26</v>
      </c>
      <c r="P501" s="4">
        <v>648</v>
      </c>
      <c r="Q501" s="4">
        <v>473</v>
      </c>
      <c r="R501" s="4">
        <v>21</v>
      </c>
    </row>
    <row r="502" spans="1:18">
      <c r="A502" s="4" t="s">
        <v>1106</v>
      </c>
      <c r="B502" s="4" t="s">
        <v>1098</v>
      </c>
      <c r="C502" s="4" t="s">
        <v>203</v>
      </c>
      <c r="D502" s="27">
        <v>45252</v>
      </c>
      <c r="E502" s="4" t="s">
        <v>20</v>
      </c>
      <c r="F502" s="4" t="s">
        <v>21</v>
      </c>
      <c r="G502" s="4" t="s">
        <v>1107</v>
      </c>
      <c r="H502" s="4" t="s">
        <v>23</v>
      </c>
      <c r="I502" s="4">
        <v>9</v>
      </c>
      <c r="J502" s="4" t="s">
        <v>89</v>
      </c>
      <c r="K502" s="4">
        <v>65</v>
      </c>
      <c r="L502" s="4">
        <v>11</v>
      </c>
      <c r="M502" s="4" t="s">
        <v>33</v>
      </c>
      <c r="N502" s="28">
        <f ca="1" t="shared" ref="N502:N565" si="0" xml:space="preserve">RAND()</f>
        <v>0.782015203773855</v>
      </c>
      <c r="O502" s="4" t="s">
        <v>34</v>
      </c>
      <c r="P502" s="4">
        <v>715</v>
      </c>
      <c r="Q502" s="4">
        <v>707</v>
      </c>
      <c r="R502" s="4">
        <v>29</v>
      </c>
    </row>
    <row r="503" spans="1:18">
      <c r="A503" s="4" t="s">
        <v>1108</v>
      </c>
      <c r="B503" s="4" t="s">
        <v>1100</v>
      </c>
      <c r="C503" s="4" t="s">
        <v>28</v>
      </c>
      <c r="D503" s="27">
        <v>45236</v>
      </c>
      <c r="E503" s="4" t="s">
        <v>29</v>
      </c>
      <c r="F503" s="4" t="s">
        <v>21</v>
      </c>
      <c r="G503" s="4" t="s">
        <v>1109</v>
      </c>
      <c r="H503" s="4" t="s">
        <v>31</v>
      </c>
      <c r="I503" s="4">
        <v>7</v>
      </c>
      <c r="J503" s="4" t="s">
        <v>93</v>
      </c>
      <c r="K503" s="4">
        <v>250</v>
      </c>
      <c r="L503" s="4">
        <v>2</v>
      </c>
      <c r="M503" s="4" t="s">
        <v>25</v>
      </c>
      <c r="N503" s="28">
        <f ca="1" t="shared" si="0"/>
        <v>0.166099663404531</v>
      </c>
      <c r="O503" s="4" t="s">
        <v>42</v>
      </c>
      <c r="P503" s="4">
        <v>500</v>
      </c>
      <c r="Q503" s="4">
        <v>57</v>
      </c>
      <c r="R503" s="4">
        <v>118</v>
      </c>
    </row>
    <row r="504" spans="1:18">
      <c r="A504" s="4" t="s">
        <v>1110</v>
      </c>
      <c r="B504" s="4" t="s">
        <v>1102</v>
      </c>
      <c r="C504" s="4" t="s">
        <v>36</v>
      </c>
      <c r="D504" s="27">
        <v>45257</v>
      </c>
      <c r="E504" s="4" t="s">
        <v>37</v>
      </c>
      <c r="F504" s="4" t="s">
        <v>38</v>
      </c>
      <c r="G504" s="4" t="s">
        <v>1111</v>
      </c>
      <c r="H504" s="4" t="s">
        <v>40</v>
      </c>
      <c r="I504" s="4">
        <v>8</v>
      </c>
      <c r="J504" s="4" t="s">
        <v>96</v>
      </c>
      <c r="K504" s="4">
        <v>130</v>
      </c>
      <c r="L504" s="4">
        <v>5</v>
      </c>
      <c r="M504" s="4" t="s">
        <v>33</v>
      </c>
      <c r="N504" s="28">
        <f ca="1" t="shared" si="0"/>
        <v>0.0284746433258265</v>
      </c>
      <c r="O504" s="4" t="s">
        <v>47</v>
      </c>
      <c r="P504" s="4">
        <v>650</v>
      </c>
      <c r="Q504" s="4">
        <v>340</v>
      </c>
      <c r="R504" s="4">
        <v>46</v>
      </c>
    </row>
    <row r="505" spans="1:18">
      <c r="A505" s="4" t="s">
        <v>1112</v>
      </c>
      <c r="B505" s="4" t="s">
        <v>1104</v>
      </c>
      <c r="C505" s="4" t="s">
        <v>44</v>
      </c>
      <c r="D505" s="27">
        <v>45251</v>
      </c>
      <c r="E505" s="4" t="s">
        <v>20</v>
      </c>
      <c r="F505" s="4" t="s">
        <v>21</v>
      </c>
      <c r="G505" s="4" t="s">
        <v>1113</v>
      </c>
      <c r="H505" s="4" t="s">
        <v>23</v>
      </c>
      <c r="I505" s="4">
        <v>6</v>
      </c>
      <c r="J505" s="4" t="s">
        <v>58</v>
      </c>
      <c r="K505" s="4">
        <v>72</v>
      </c>
      <c r="L505" s="4">
        <v>8</v>
      </c>
      <c r="M505" s="4" t="s">
        <v>25</v>
      </c>
      <c r="N505" s="28">
        <f ca="1" t="shared" si="0"/>
        <v>0.903224468253091</v>
      </c>
      <c r="O505" s="4" t="s">
        <v>26</v>
      </c>
      <c r="P505" s="4">
        <v>576</v>
      </c>
      <c r="Q505" s="4">
        <v>533</v>
      </c>
      <c r="R505" s="4">
        <v>26</v>
      </c>
    </row>
    <row r="506" spans="1:18">
      <c r="A506" s="4" t="s">
        <v>1114</v>
      </c>
      <c r="B506" s="4" t="s">
        <v>1106</v>
      </c>
      <c r="C506" s="4" t="s">
        <v>49</v>
      </c>
      <c r="D506" s="27">
        <v>45243</v>
      </c>
      <c r="E506" s="4" t="s">
        <v>29</v>
      </c>
      <c r="F506" s="4" t="s">
        <v>21</v>
      </c>
      <c r="G506" s="4" t="s">
        <v>1115</v>
      </c>
      <c r="H506" s="4" t="s">
        <v>31</v>
      </c>
      <c r="I506" s="4">
        <v>2</v>
      </c>
      <c r="J506" s="4" t="s">
        <v>63</v>
      </c>
      <c r="K506" s="4">
        <v>65</v>
      </c>
      <c r="L506" s="4">
        <v>5</v>
      </c>
      <c r="M506" s="4" t="s">
        <v>33</v>
      </c>
      <c r="N506" s="28">
        <f ca="1" t="shared" si="0"/>
        <v>0.177719517617824</v>
      </c>
      <c r="O506" s="4" t="s">
        <v>34</v>
      </c>
      <c r="P506" s="4">
        <v>325</v>
      </c>
      <c r="Q506" s="4">
        <v>138</v>
      </c>
      <c r="R506" s="4">
        <v>21</v>
      </c>
    </row>
    <row r="507" spans="1:18">
      <c r="A507" s="4" t="s">
        <v>1116</v>
      </c>
      <c r="B507" s="4" t="s">
        <v>1108</v>
      </c>
      <c r="C507" s="4" t="s">
        <v>53</v>
      </c>
      <c r="D507" s="27">
        <v>45257</v>
      </c>
      <c r="E507" s="4" t="s">
        <v>29</v>
      </c>
      <c r="F507" s="4" t="s">
        <v>21</v>
      </c>
      <c r="G507" s="4" t="s">
        <v>1117</v>
      </c>
      <c r="H507" s="4" t="s">
        <v>40</v>
      </c>
      <c r="I507" s="4">
        <v>4</v>
      </c>
      <c r="J507" s="4" t="s">
        <v>67</v>
      </c>
      <c r="K507" s="4">
        <v>250</v>
      </c>
      <c r="L507" s="4">
        <v>2</v>
      </c>
      <c r="M507" s="4" t="s">
        <v>25</v>
      </c>
      <c r="N507" s="28">
        <f ca="1" t="shared" si="0"/>
        <v>0.418490238229377</v>
      </c>
      <c r="O507" s="4" t="s">
        <v>42</v>
      </c>
      <c r="P507" s="4">
        <v>500</v>
      </c>
      <c r="Q507" s="4">
        <v>216</v>
      </c>
      <c r="R507" s="4">
        <v>73</v>
      </c>
    </row>
    <row r="508" spans="1:18">
      <c r="A508" s="4" t="s">
        <v>1118</v>
      </c>
      <c r="B508" s="4" t="s">
        <v>1110</v>
      </c>
      <c r="C508" s="4" t="s">
        <v>61</v>
      </c>
      <c r="D508" s="27">
        <v>45248</v>
      </c>
      <c r="E508" s="4" t="s">
        <v>20</v>
      </c>
      <c r="F508" s="4" t="s">
        <v>21</v>
      </c>
      <c r="G508" s="4" t="s">
        <v>1119</v>
      </c>
      <c r="H508" s="4" t="s">
        <v>23</v>
      </c>
      <c r="I508" s="4">
        <v>1</v>
      </c>
      <c r="J508" s="4" t="s">
        <v>103</v>
      </c>
      <c r="K508" s="4">
        <v>130</v>
      </c>
      <c r="L508" s="4">
        <v>4</v>
      </c>
      <c r="M508" s="4" t="s">
        <v>33</v>
      </c>
      <c r="N508" s="28">
        <f ca="1" t="shared" si="0"/>
        <v>0.908970958052206</v>
      </c>
      <c r="O508" s="4" t="s">
        <v>47</v>
      </c>
      <c r="P508" s="4">
        <v>520</v>
      </c>
      <c r="Q508" s="4">
        <v>508</v>
      </c>
      <c r="R508" s="4">
        <v>83</v>
      </c>
    </row>
    <row r="509" spans="1:18">
      <c r="A509" s="4" t="s">
        <v>1120</v>
      </c>
      <c r="B509" s="4" t="s">
        <v>1112</v>
      </c>
      <c r="C509" s="4" t="s">
        <v>61</v>
      </c>
      <c r="D509" s="27">
        <v>45258</v>
      </c>
      <c r="E509" s="4" t="s">
        <v>29</v>
      </c>
      <c r="F509" s="4" t="s">
        <v>21</v>
      </c>
      <c r="G509" s="4" t="s">
        <v>1121</v>
      </c>
      <c r="H509" s="4" t="s">
        <v>31</v>
      </c>
      <c r="I509" s="4">
        <v>9</v>
      </c>
      <c r="J509" s="4" t="s">
        <v>108</v>
      </c>
      <c r="K509" s="4">
        <v>60</v>
      </c>
      <c r="L509" s="4">
        <v>12</v>
      </c>
      <c r="M509" s="4" t="s">
        <v>25</v>
      </c>
      <c r="N509" s="28">
        <f ca="1" t="shared" si="0"/>
        <v>0.82860072677229</v>
      </c>
      <c r="O509" s="4" t="s">
        <v>68</v>
      </c>
      <c r="P509" s="4">
        <v>720</v>
      </c>
      <c r="Q509" s="4">
        <v>697</v>
      </c>
      <c r="R509" s="4">
        <v>23</v>
      </c>
    </row>
    <row r="510" spans="1:18">
      <c r="A510" s="4" t="s">
        <v>1122</v>
      </c>
      <c r="B510" s="4" t="s">
        <v>1114</v>
      </c>
      <c r="C510" s="4" t="s">
        <v>65</v>
      </c>
      <c r="D510" s="27">
        <v>45247</v>
      </c>
      <c r="E510" s="4" t="s">
        <v>29</v>
      </c>
      <c r="F510" s="4" t="s">
        <v>38</v>
      </c>
      <c r="G510" s="4" t="s">
        <v>1123</v>
      </c>
      <c r="H510" s="4" t="s">
        <v>40</v>
      </c>
      <c r="I510" s="4">
        <v>6</v>
      </c>
      <c r="J510" s="4" t="s">
        <v>112</v>
      </c>
      <c r="K510" s="4">
        <v>72</v>
      </c>
      <c r="L510" s="4">
        <v>12</v>
      </c>
      <c r="M510" s="4" t="s">
        <v>33</v>
      </c>
      <c r="N510" s="28">
        <f ca="1" t="shared" si="0"/>
        <v>0.510148324085947</v>
      </c>
      <c r="O510" s="4" t="s">
        <v>26</v>
      </c>
      <c r="P510" s="4">
        <v>864</v>
      </c>
      <c r="Q510" s="4">
        <v>435</v>
      </c>
      <c r="R510" s="4">
        <v>18</v>
      </c>
    </row>
    <row r="511" spans="1:18">
      <c r="A511" s="4" t="s">
        <v>1124</v>
      </c>
      <c r="B511" s="4" t="s">
        <v>1116</v>
      </c>
      <c r="C511" s="4" t="s">
        <v>53</v>
      </c>
      <c r="D511" s="27">
        <v>45244</v>
      </c>
      <c r="E511" s="4" t="s">
        <v>20</v>
      </c>
      <c r="F511" s="4" t="s">
        <v>21</v>
      </c>
      <c r="G511" s="4" t="s">
        <v>1125</v>
      </c>
      <c r="H511" s="4" t="s">
        <v>23</v>
      </c>
      <c r="I511" s="4">
        <v>9</v>
      </c>
      <c r="J511" s="4" t="s">
        <v>116</v>
      </c>
      <c r="K511" s="4">
        <v>65</v>
      </c>
      <c r="L511" s="4">
        <v>9</v>
      </c>
      <c r="M511" s="4" t="s">
        <v>25</v>
      </c>
      <c r="N511" s="28">
        <f ca="1" t="shared" si="0"/>
        <v>0.0285848438637555</v>
      </c>
      <c r="O511" s="4" t="s">
        <v>34</v>
      </c>
      <c r="P511" s="4">
        <v>585</v>
      </c>
      <c r="Q511" s="4">
        <v>552</v>
      </c>
      <c r="R511" s="4">
        <v>17</v>
      </c>
    </row>
    <row r="512" spans="1:18">
      <c r="A512" s="4" t="s">
        <v>1126</v>
      </c>
      <c r="B512" s="4" t="s">
        <v>1118</v>
      </c>
      <c r="C512" s="4" t="s">
        <v>73</v>
      </c>
      <c r="D512" s="27">
        <v>45256</v>
      </c>
      <c r="E512" s="4" t="s">
        <v>29</v>
      </c>
      <c r="F512" s="4" t="s">
        <v>21</v>
      </c>
      <c r="G512" s="4" t="s">
        <v>1127</v>
      </c>
      <c r="H512" s="4" t="s">
        <v>31</v>
      </c>
      <c r="I512" s="4">
        <v>9</v>
      </c>
      <c r="J512" s="4" t="s">
        <v>120</v>
      </c>
      <c r="K512" s="4">
        <v>250</v>
      </c>
      <c r="L512" s="4">
        <v>3</v>
      </c>
      <c r="M512" s="4" t="s">
        <v>33</v>
      </c>
      <c r="N512" s="28">
        <f ca="1" t="shared" si="0"/>
        <v>0.479507186108868</v>
      </c>
      <c r="O512" s="4" t="s">
        <v>42</v>
      </c>
      <c r="P512" s="4">
        <v>750</v>
      </c>
      <c r="Q512" s="4">
        <v>76</v>
      </c>
      <c r="R512" s="4">
        <v>105</v>
      </c>
    </row>
    <row r="513" spans="1:18">
      <c r="A513" s="4" t="s">
        <v>1128</v>
      </c>
      <c r="B513" s="4" t="s">
        <v>1120</v>
      </c>
      <c r="C513" s="4" t="s">
        <v>77</v>
      </c>
      <c r="D513" s="27">
        <v>45255</v>
      </c>
      <c r="E513" s="4" t="s">
        <v>37</v>
      </c>
      <c r="F513" s="4" t="s">
        <v>21</v>
      </c>
      <c r="G513" s="4" t="s">
        <v>1129</v>
      </c>
      <c r="H513" s="4" t="s">
        <v>40</v>
      </c>
      <c r="I513" s="4">
        <v>3</v>
      </c>
      <c r="J513" s="4" t="s">
        <v>124</v>
      </c>
      <c r="K513" s="4">
        <v>130</v>
      </c>
      <c r="L513" s="4">
        <v>6</v>
      </c>
      <c r="M513" s="4" t="s">
        <v>25</v>
      </c>
      <c r="N513" s="28">
        <f ca="1" t="shared" si="0"/>
        <v>0.904206794151734</v>
      </c>
      <c r="O513" s="4" t="s">
        <v>47</v>
      </c>
      <c r="P513" s="4">
        <v>780</v>
      </c>
      <c r="Q513" s="4">
        <v>610</v>
      </c>
      <c r="R513" s="4">
        <v>44</v>
      </c>
    </row>
    <row r="514" spans="1:18">
      <c r="A514" s="4" t="s">
        <v>1130</v>
      </c>
      <c r="B514" s="4" t="s">
        <v>1122</v>
      </c>
      <c r="C514" s="4" t="s">
        <v>229</v>
      </c>
      <c r="D514" s="27">
        <v>45243</v>
      </c>
      <c r="E514" s="4" t="s">
        <v>20</v>
      </c>
      <c r="F514" s="4" t="s">
        <v>21</v>
      </c>
      <c r="G514" s="4" t="s">
        <v>1131</v>
      </c>
      <c r="H514" s="4" t="s">
        <v>23</v>
      </c>
      <c r="I514" s="4">
        <v>2</v>
      </c>
      <c r="J514" s="4" t="s">
        <v>128</v>
      </c>
      <c r="K514" s="4">
        <v>72</v>
      </c>
      <c r="L514" s="4">
        <v>8</v>
      </c>
      <c r="M514" s="4" t="s">
        <v>33</v>
      </c>
      <c r="N514" s="28">
        <f ca="1" t="shared" si="0"/>
        <v>0.941696482652321</v>
      </c>
      <c r="O514" s="4" t="s">
        <v>26</v>
      </c>
      <c r="P514" s="4">
        <v>576</v>
      </c>
      <c r="Q514" s="4">
        <v>190</v>
      </c>
      <c r="R514" s="4">
        <v>47</v>
      </c>
    </row>
    <row r="515" spans="1:18">
      <c r="A515" s="4" t="s">
        <v>1132</v>
      </c>
      <c r="B515" s="4" t="s">
        <v>1124</v>
      </c>
      <c r="C515" s="4" t="s">
        <v>84</v>
      </c>
      <c r="D515" s="27">
        <v>45255</v>
      </c>
      <c r="E515" s="4" t="s">
        <v>29</v>
      </c>
      <c r="F515" s="4" t="s">
        <v>21</v>
      </c>
      <c r="G515" s="4" t="s">
        <v>1133</v>
      </c>
      <c r="H515" s="4" t="s">
        <v>31</v>
      </c>
      <c r="I515" s="4">
        <v>3</v>
      </c>
      <c r="J515" s="4" t="s">
        <v>63</v>
      </c>
      <c r="K515" s="4">
        <v>65</v>
      </c>
      <c r="L515" s="4">
        <v>4</v>
      </c>
      <c r="M515" s="4" t="s">
        <v>25</v>
      </c>
      <c r="N515" s="28">
        <f ca="1" t="shared" si="0"/>
        <v>0.12618346438209</v>
      </c>
      <c r="O515" s="4" t="s">
        <v>34</v>
      </c>
      <c r="P515" s="4">
        <v>260</v>
      </c>
      <c r="Q515" s="4">
        <v>104</v>
      </c>
      <c r="R515" s="4">
        <v>27</v>
      </c>
    </row>
    <row r="516" spans="1:18">
      <c r="A516" s="4" t="s">
        <v>1134</v>
      </c>
      <c r="B516" s="4" t="s">
        <v>1126</v>
      </c>
      <c r="C516" s="4" t="s">
        <v>53</v>
      </c>
      <c r="D516" s="27">
        <v>45248</v>
      </c>
      <c r="E516" s="4" t="s">
        <v>37</v>
      </c>
      <c r="F516" s="4" t="s">
        <v>38</v>
      </c>
      <c r="G516" s="4" t="s">
        <v>1135</v>
      </c>
      <c r="H516" s="4" t="s">
        <v>40</v>
      </c>
      <c r="I516" s="4">
        <v>10</v>
      </c>
      <c r="J516" s="4" t="s">
        <v>67</v>
      </c>
      <c r="K516" s="4">
        <v>250</v>
      </c>
      <c r="L516" s="4">
        <v>2</v>
      </c>
      <c r="M516" s="4" t="s">
        <v>33</v>
      </c>
      <c r="N516" s="28">
        <f ca="1" t="shared" si="0"/>
        <v>0.855728867628918</v>
      </c>
      <c r="O516" s="4" t="s">
        <v>42</v>
      </c>
      <c r="P516" s="4">
        <v>500</v>
      </c>
      <c r="Q516" s="4">
        <v>105</v>
      </c>
      <c r="R516" s="4">
        <v>73</v>
      </c>
    </row>
    <row r="517" spans="1:18">
      <c r="A517" s="4" t="s">
        <v>1136</v>
      </c>
      <c r="B517" s="4" t="s">
        <v>1128</v>
      </c>
      <c r="C517" s="4" t="s">
        <v>91</v>
      </c>
      <c r="D517" s="27">
        <v>45234</v>
      </c>
      <c r="E517" s="4" t="s">
        <v>20</v>
      </c>
      <c r="F517" s="4" t="s">
        <v>21</v>
      </c>
      <c r="G517" s="4" t="s">
        <v>1137</v>
      </c>
      <c r="H517" s="4" t="s">
        <v>23</v>
      </c>
      <c r="I517" s="4">
        <v>3</v>
      </c>
      <c r="J517" s="4" t="s">
        <v>71</v>
      </c>
      <c r="K517" s="4">
        <v>130</v>
      </c>
      <c r="L517" s="4">
        <v>6</v>
      </c>
      <c r="M517" s="4" t="s">
        <v>25</v>
      </c>
      <c r="N517" s="28">
        <f ca="1" t="shared" si="0"/>
        <v>0.654039524544588</v>
      </c>
      <c r="O517" s="4" t="s">
        <v>47</v>
      </c>
      <c r="P517" s="4">
        <v>780</v>
      </c>
      <c r="Q517" s="4">
        <v>147</v>
      </c>
      <c r="R517" s="4">
        <v>69</v>
      </c>
    </row>
    <row r="518" spans="1:18">
      <c r="A518" s="4" t="s">
        <v>1138</v>
      </c>
      <c r="B518" s="4" t="s">
        <v>1130</v>
      </c>
      <c r="C518" s="4" t="s">
        <v>77</v>
      </c>
      <c r="D518" s="27">
        <v>45256</v>
      </c>
      <c r="E518" s="4" t="s">
        <v>29</v>
      </c>
      <c r="F518" s="4" t="s">
        <v>21</v>
      </c>
      <c r="G518" s="4" t="s">
        <v>1139</v>
      </c>
      <c r="H518" s="4" t="s">
        <v>31</v>
      </c>
      <c r="I518" s="4">
        <v>1</v>
      </c>
      <c r="J518" s="4" t="s">
        <v>24</v>
      </c>
      <c r="K518" s="4">
        <v>60</v>
      </c>
      <c r="L518" s="4">
        <v>15</v>
      </c>
      <c r="M518" s="4" t="s">
        <v>25</v>
      </c>
      <c r="N518" s="28">
        <f ca="1" t="shared" si="0"/>
        <v>0.576760492471802</v>
      </c>
      <c r="O518" s="4" t="s">
        <v>68</v>
      </c>
      <c r="P518" s="4">
        <v>900</v>
      </c>
      <c r="Q518" s="4">
        <v>493</v>
      </c>
      <c r="R518" s="4">
        <v>17</v>
      </c>
    </row>
    <row r="519" spans="1:18">
      <c r="A519" s="4" t="s">
        <v>1140</v>
      </c>
      <c r="B519" s="4" t="s">
        <v>1132</v>
      </c>
      <c r="C519" s="4" t="s">
        <v>49</v>
      </c>
      <c r="D519" s="27">
        <v>45246</v>
      </c>
      <c r="E519" s="4" t="s">
        <v>37</v>
      </c>
      <c r="F519" s="4" t="s">
        <v>21</v>
      </c>
      <c r="G519" s="4" t="s">
        <v>1141</v>
      </c>
      <c r="H519" s="4" t="s">
        <v>40</v>
      </c>
      <c r="I519" s="4">
        <v>5</v>
      </c>
      <c r="J519" s="4" t="s">
        <v>32</v>
      </c>
      <c r="K519" s="4">
        <v>95</v>
      </c>
      <c r="L519" s="4">
        <v>8</v>
      </c>
      <c r="M519" s="4" t="s">
        <v>33</v>
      </c>
      <c r="N519" s="28">
        <f ca="1" t="shared" si="0"/>
        <v>0.137484628721209</v>
      </c>
      <c r="O519" s="4" t="s">
        <v>104</v>
      </c>
      <c r="P519" s="4">
        <v>760</v>
      </c>
      <c r="Q519" s="4">
        <v>477</v>
      </c>
      <c r="R519" s="4">
        <v>51</v>
      </c>
    </row>
    <row r="520" spans="1:18">
      <c r="A520" s="4" t="s">
        <v>1142</v>
      </c>
      <c r="B520" s="4" t="s">
        <v>1134</v>
      </c>
      <c r="C520" s="4" t="s">
        <v>101</v>
      </c>
      <c r="D520" s="27">
        <v>45237</v>
      </c>
      <c r="E520" s="4" t="s">
        <v>20</v>
      </c>
      <c r="F520" s="4" t="s">
        <v>21</v>
      </c>
      <c r="G520" s="4" t="s">
        <v>1143</v>
      </c>
      <c r="H520" s="4" t="s">
        <v>23</v>
      </c>
      <c r="I520" s="4">
        <v>1</v>
      </c>
      <c r="J520" s="4" t="s">
        <v>41</v>
      </c>
      <c r="K520" s="4">
        <v>72</v>
      </c>
      <c r="L520" s="4">
        <v>4</v>
      </c>
      <c r="M520" s="4" t="s">
        <v>33</v>
      </c>
      <c r="N520" s="28">
        <f ca="1" t="shared" si="0"/>
        <v>0.640357266148314</v>
      </c>
      <c r="O520" s="4" t="s">
        <v>26</v>
      </c>
      <c r="P520" s="4">
        <v>288</v>
      </c>
      <c r="Q520" s="4">
        <v>64</v>
      </c>
      <c r="R520" s="4">
        <v>18</v>
      </c>
    </row>
    <row r="521" spans="1:18">
      <c r="A521" s="4" t="s">
        <v>1144</v>
      </c>
      <c r="B521" s="4" t="s">
        <v>1136</v>
      </c>
      <c r="C521" s="4" t="s">
        <v>106</v>
      </c>
      <c r="D521" s="27">
        <v>45251</v>
      </c>
      <c r="E521" s="4" t="s">
        <v>29</v>
      </c>
      <c r="F521" s="4" t="s">
        <v>21</v>
      </c>
      <c r="G521" s="4" t="s">
        <v>1145</v>
      </c>
      <c r="H521" s="4" t="s">
        <v>31</v>
      </c>
      <c r="I521" s="4">
        <v>5</v>
      </c>
      <c r="J521" s="4" t="s">
        <v>46</v>
      </c>
      <c r="K521" s="4">
        <v>65</v>
      </c>
      <c r="L521" s="4">
        <v>3</v>
      </c>
      <c r="M521" s="4" t="s">
        <v>33</v>
      </c>
      <c r="N521" s="28">
        <f ca="1" t="shared" si="0"/>
        <v>0.229404654261574</v>
      </c>
      <c r="O521" s="4" t="s">
        <v>34</v>
      </c>
      <c r="P521" s="4">
        <v>195</v>
      </c>
      <c r="Q521" s="4">
        <v>3</v>
      </c>
      <c r="R521" s="4">
        <v>36</v>
      </c>
    </row>
    <row r="522" spans="1:18">
      <c r="A522" s="4" t="s">
        <v>1146</v>
      </c>
      <c r="B522" s="4" t="s">
        <v>1138</v>
      </c>
      <c r="C522" s="4" t="s">
        <v>110</v>
      </c>
      <c r="D522" s="27">
        <v>45237</v>
      </c>
      <c r="E522" s="4" t="s">
        <v>29</v>
      </c>
      <c r="F522" s="4" t="s">
        <v>38</v>
      </c>
      <c r="G522" s="4" t="s">
        <v>1147</v>
      </c>
      <c r="H522" s="4" t="s">
        <v>40</v>
      </c>
      <c r="I522" s="4">
        <v>5</v>
      </c>
      <c r="J522" s="4" t="s">
        <v>51</v>
      </c>
      <c r="K522" s="4">
        <v>250</v>
      </c>
      <c r="L522" s="4">
        <v>1</v>
      </c>
      <c r="M522" s="4" t="s">
        <v>25</v>
      </c>
      <c r="N522" s="28">
        <f ca="1" t="shared" si="0"/>
        <v>0.92897943876564</v>
      </c>
      <c r="O522" s="4" t="s">
        <v>42</v>
      </c>
      <c r="P522" s="4">
        <v>250</v>
      </c>
      <c r="Q522" s="4">
        <v>181</v>
      </c>
      <c r="R522" s="4">
        <v>93</v>
      </c>
    </row>
    <row r="523" spans="1:18">
      <c r="A523" s="4" t="s">
        <v>1148</v>
      </c>
      <c r="B523" s="4" t="s">
        <v>1140</v>
      </c>
      <c r="C523" s="4" t="s">
        <v>114</v>
      </c>
      <c r="D523" s="27">
        <v>45254</v>
      </c>
      <c r="E523" s="4" t="s">
        <v>20</v>
      </c>
      <c r="F523" s="4" t="s">
        <v>21</v>
      </c>
      <c r="G523" s="4" t="s">
        <v>1149</v>
      </c>
      <c r="H523" s="4" t="s">
        <v>23</v>
      </c>
      <c r="I523" s="4">
        <v>3</v>
      </c>
      <c r="J523" s="4" t="s">
        <v>55</v>
      </c>
      <c r="K523" s="4">
        <v>130</v>
      </c>
      <c r="L523" s="4">
        <v>3</v>
      </c>
      <c r="M523" s="4" t="s">
        <v>25</v>
      </c>
      <c r="N523" s="28">
        <f ca="1" t="shared" si="0"/>
        <v>0.282060956739733</v>
      </c>
      <c r="O523" s="4" t="s">
        <v>47</v>
      </c>
      <c r="P523" s="4">
        <v>390</v>
      </c>
      <c r="Q523" s="4">
        <v>362</v>
      </c>
      <c r="R523" s="4">
        <v>53</v>
      </c>
    </row>
    <row r="524" spans="1:18">
      <c r="A524" s="4" t="s">
        <v>1150</v>
      </c>
      <c r="B524" s="4" t="s">
        <v>1142</v>
      </c>
      <c r="C524" s="4" t="s">
        <v>118</v>
      </c>
      <c r="D524" s="27">
        <v>45247</v>
      </c>
      <c r="E524" s="4" t="s">
        <v>29</v>
      </c>
      <c r="F524" s="4" t="s">
        <v>21</v>
      </c>
      <c r="G524" s="4" t="s">
        <v>1151</v>
      </c>
      <c r="H524" s="4" t="s">
        <v>31</v>
      </c>
      <c r="I524" s="4">
        <v>3</v>
      </c>
      <c r="J524" s="4" t="s">
        <v>58</v>
      </c>
      <c r="K524" s="4">
        <v>72</v>
      </c>
      <c r="L524" s="4">
        <v>6</v>
      </c>
      <c r="M524" s="4" t="s">
        <v>25</v>
      </c>
      <c r="N524" s="28">
        <f ca="1" t="shared" si="0"/>
        <v>0.110142859469699</v>
      </c>
      <c r="O524" s="4" t="s">
        <v>26</v>
      </c>
      <c r="P524" s="4">
        <v>432</v>
      </c>
      <c r="Q524" s="4">
        <v>28</v>
      </c>
      <c r="R524" s="4">
        <v>43</v>
      </c>
    </row>
    <row r="525" spans="1:18">
      <c r="A525" s="4" t="s">
        <v>1152</v>
      </c>
      <c r="B525" s="4" t="s">
        <v>1144</v>
      </c>
      <c r="C525" s="4" t="s">
        <v>122</v>
      </c>
      <c r="D525" s="27">
        <v>45254</v>
      </c>
      <c r="E525" s="4" t="s">
        <v>37</v>
      </c>
      <c r="F525" s="4" t="s">
        <v>21</v>
      </c>
      <c r="G525" s="4" t="s">
        <v>1153</v>
      </c>
      <c r="H525" s="4" t="s">
        <v>40</v>
      </c>
      <c r="I525" s="4">
        <v>7</v>
      </c>
      <c r="J525" s="4" t="s">
        <v>63</v>
      </c>
      <c r="K525" s="4">
        <v>65</v>
      </c>
      <c r="L525" s="4">
        <v>12</v>
      </c>
      <c r="M525" s="4" t="s">
        <v>25</v>
      </c>
      <c r="N525" s="28">
        <f ca="1" t="shared" si="0"/>
        <v>0.704008974810469</v>
      </c>
      <c r="O525" s="4" t="s">
        <v>34</v>
      </c>
      <c r="P525" s="4">
        <v>780</v>
      </c>
      <c r="Q525" s="4">
        <v>169</v>
      </c>
      <c r="R525" s="4">
        <v>41</v>
      </c>
    </row>
    <row r="526" spans="1:18">
      <c r="A526" s="4" t="s">
        <v>1154</v>
      </c>
      <c r="B526" s="4" t="s">
        <v>1146</v>
      </c>
      <c r="C526" s="4" t="s">
        <v>126</v>
      </c>
      <c r="D526" s="27">
        <v>45253</v>
      </c>
      <c r="E526" s="4" t="s">
        <v>20</v>
      </c>
      <c r="F526" s="4" t="s">
        <v>21</v>
      </c>
      <c r="G526" s="4" t="s">
        <v>1155</v>
      </c>
      <c r="H526" s="4" t="s">
        <v>23</v>
      </c>
      <c r="I526" s="4">
        <v>4</v>
      </c>
      <c r="J526" s="4" t="s">
        <v>67</v>
      </c>
      <c r="K526" s="4">
        <v>250</v>
      </c>
      <c r="L526" s="4">
        <v>3</v>
      </c>
      <c r="M526" s="4" t="s">
        <v>25</v>
      </c>
      <c r="N526" s="28">
        <f ca="1" t="shared" si="0"/>
        <v>0.487462867041444</v>
      </c>
      <c r="O526" s="4" t="s">
        <v>42</v>
      </c>
      <c r="P526" s="4">
        <v>750</v>
      </c>
      <c r="Q526" s="4">
        <v>85</v>
      </c>
      <c r="R526" s="4">
        <v>150</v>
      </c>
    </row>
    <row r="527" spans="1:18">
      <c r="A527" s="4" t="s">
        <v>1156</v>
      </c>
      <c r="B527" s="4" t="s">
        <v>1148</v>
      </c>
      <c r="C527" s="4" t="s">
        <v>130</v>
      </c>
      <c r="D527" s="27">
        <v>45245</v>
      </c>
      <c r="E527" s="4" t="s">
        <v>29</v>
      </c>
      <c r="F527" s="4" t="s">
        <v>21</v>
      </c>
      <c r="G527" s="4" t="s">
        <v>1157</v>
      </c>
      <c r="H527" s="4" t="s">
        <v>31</v>
      </c>
      <c r="I527" s="4">
        <v>3</v>
      </c>
      <c r="J527" s="4" t="s">
        <v>71</v>
      </c>
      <c r="K527" s="4">
        <v>130</v>
      </c>
      <c r="L527" s="4">
        <v>5</v>
      </c>
      <c r="M527" s="4" t="s">
        <v>25</v>
      </c>
      <c r="N527" s="28">
        <f ca="1" t="shared" si="0"/>
        <v>0.200723122545547</v>
      </c>
      <c r="O527" s="4" t="s">
        <v>47</v>
      </c>
      <c r="P527" s="4">
        <v>650</v>
      </c>
      <c r="Q527" s="4">
        <v>299</v>
      </c>
      <c r="R527" s="4">
        <v>49</v>
      </c>
    </row>
    <row r="528" spans="1:18">
      <c r="A528" s="4" t="s">
        <v>1158</v>
      </c>
      <c r="B528" s="4" t="s">
        <v>1150</v>
      </c>
      <c r="C528" s="4" t="s">
        <v>134</v>
      </c>
      <c r="D528" s="27">
        <v>45240</v>
      </c>
      <c r="E528" s="4" t="s">
        <v>37</v>
      </c>
      <c r="F528" s="4" t="s">
        <v>38</v>
      </c>
      <c r="G528" s="4" t="s">
        <v>1159</v>
      </c>
      <c r="H528" s="4" t="s">
        <v>40</v>
      </c>
      <c r="I528" s="4">
        <v>8</v>
      </c>
      <c r="J528" s="4" t="s">
        <v>75</v>
      </c>
      <c r="K528" s="4">
        <v>60</v>
      </c>
      <c r="L528" s="4">
        <v>7</v>
      </c>
      <c r="M528" s="4" t="s">
        <v>25</v>
      </c>
      <c r="N528" s="28">
        <f ca="1" t="shared" si="0"/>
        <v>0.516582123356083</v>
      </c>
      <c r="O528" s="4" t="s">
        <v>68</v>
      </c>
      <c r="P528" s="4">
        <v>420</v>
      </c>
      <c r="Q528" s="4">
        <v>252</v>
      </c>
      <c r="R528" s="4">
        <v>35</v>
      </c>
    </row>
    <row r="529" spans="1:18">
      <c r="A529" s="4" t="s">
        <v>1160</v>
      </c>
      <c r="B529" s="4" t="s">
        <v>1152</v>
      </c>
      <c r="C529" s="4" t="s">
        <v>139</v>
      </c>
      <c r="D529" s="27">
        <v>45245</v>
      </c>
      <c r="E529" s="4" t="s">
        <v>20</v>
      </c>
      <c r="F529" s="4" t="s">
        <v>21</v>
      </c>
      <c r="G529" s="4" t="s">
        <v>1161</v>
      </c>
      <c r="H529" s="4" t="s">
        <v>23</v>
      </c>
      <c r="I529" s="4">
        <v>2</v>
      </c>
      <c r="J529" s="4" t="s">
        <v>79</v>
      </c>
      <c r="K529" s="4">
        <v>72</v>
      </c>
      <c r="L529" s="4">
        <v>7</v>
      </c>
      <c r="M529" s="4" t="s">
        <v>25</v>
      </c>
      <c r="N529" s="28">
        <f ca="1" t="shared" si="0"/>
        <v>0.650917932894607</v>
      </c>
      <c r="O529" s="4" t="s">
        <v>26</v>
      </c>
      <c r="P529" s="4">
        <v>504</v>
      </c>
      <c r="Q529" s="4">
        <v>407</v>
      </c>
      <c r="R529" s="4">
        <v>23</v>
      </c>
    </row>
    <row r="530" spans="1:18">
      <c r="A530" s="4" t="s">
        <v>1162</v>
      </c>
      <c r="B530" s="4" t="s">
        <v>1154</v>
      </c>
      <c r="C530" s="4" t="s">
        <v>143</v>
      </c>
      <c r="D530" s="27">
        <v>45259</v>
      </c>
      <c r="E530" s="4" t="s">
        <v>29</v>
      </c>
      <c r="F530" s="4" t="s">
        <v>21</v>
      </c>
      <c r="G530" s="4" t="s">
        <v>1163</v>
      </c>
      <c r="H530" s="4" t="s">
        <v>31</v>
      </c>
      <c r="I530" s="4">
        <v>9</v>
      </c>
      <c r="J530" s="4" t="s">
        <v>82</v>
      </c>
      <c r="K530" s="4">
        <v>65</v>
      </c>
      <c r="L530" s="4">
        <v>12</v>
      </c>
      <c r="M530" s="4" t="s">
        <v>25</v>
      </c>
      <c r="N530" s="28">
        <f ca="1" t="shared" si="0"/>
        <v>0.305691742814716</v>
      </c>
      <c r="O530" s="4" t="s">
        <v>34</v>
      </c>
      <c r="P530" s="4">
        <v>780</v>
      </c>
      <c r="Q530" s="4">
        <v>303</v>
      </c>
      <c r="R530" s="4">
        <v>16</v>
      </c>
    </row>
    <row r="531" spans="1:18">
      <c r="A531" s="4" t="s">
        <v>1164</v>
      </c>
      <c r="B531" s="4" t="s">
        <v>1156</v>
      </c>
      <c r="C531" s="4" t="s">
        <v>146</v>
      </c>
      <c r="D531" s="27">
        <v>45233</v>
      </c>
      <c r="E531" s="4" t="s">
        <v>37</v>
      </c>
      <c r="F531" s="4" t="s">
        <v>21</v>
      </c>
      <c r="G531" s="4" t="s">
        <v>1165</v>
      </c>
      <c r="H531" s="4" t="s">
        <v>40</v>
      </c>
      <c r="I531" s="4">
        <v>6</v>
      </c>
      <c r="J531" s="4" t="s">
        <v>86</v>
      </c>
      <c r="K531" s="4">
        <v>250</v>
      </c>
      <c r="L531" s="4">
        <v>1</v>
      </c>
      <c r="M531" s="4" t="s">
        <v>33</v>
      </c>
      <c r="N531" s="28">
        <f ca="1" t="shared" si="0"/>
        <v>0.167493751581119</v>
      </c>
      <c r="O531" s="4" t="s">
        <v>42</v>
      </c>
      <c r="P531" s="4">
        <v>250</v>
      </c>
      <c r="Q531" s="4">
        <v>250</v>
      </c>
      <c r="R531" s="4">
        <v>145</v>
      </c>
    </row>
    <row r="532" spans="1:18">
      <c r="A532" s="4" t="s">
        <v>1166</v>
      </c>
      <c r="B532" s="4" t="s">
        <v>1158</v>
      </c>
      <c r="C532" s="4" t="s">
        <v>149</v>
      </c>
      <c r="D532" s="27">
        <v>45233</v>
      </c>
      <c r="E532" s="4" t="s">
        <v>20</v>
      </c>
      <c r="F532" s="4" t="s">
        <v>21</v>
      </c>
      <c r="G532" s="4" t="s">
        <v>1167</v>
      </c>
      <c r="H532" s="4" t="s">
        <v>23</v>
      </c>
      <c r="I532" s="4">
        <v>7</v>
      </c>
      <c r="J532" s="4" t="s">
        <v>89</v>
      </c>
      <c r="K532" s="4">
        <v>130</v>
      </c>
      <c r="L532" s="4">
        <v>2</v>
      </c>
      <c r="M532" s="4" t="s">
        <v>25</v>
      </c>
      <c r="N532" s="28">
        <f ca="1" t="shared" si="0"/>
        <v>0.579908768754845</v>
      </c>
      <c r="O532" s="4" t="s">
        <v>47</v>
      </c>
      <c r="P532" s="4">
        <v>260</v>
      </c>
      <c r="Q532" s="4">
        <v>38</v>
      </c>
      <c r="R532" s="4">
        <v>77</v>
      </c>
    </row>
    <row r="533" spans="1:18">
      <c r="A533" s="4" t="s">
        <v>1168</v>
      </c>
      <c r="B533" s="4" t="s">
        <v>1160</v>
      </c>
      <c r="C533" s="4" t="s">
        <v>152</v>
      </c>
      <c r="D533" s="27">
        <v>45246</v>
      </c>
      <c r="E533" s="4" t="s">
        <v>29</v>
      </c>
      <c r="F533" s="4" t="s">
        <v>21</v>
      </c>
      <c r="G533" s="4" t="s">
        <v>1169</v>
      </c>
      <c r="H533" s="4" t="s">
        <v>31</v>
      </c>
      <c r="I533" s="4">
        <v>9</v>
      </c>
      <c r="J533" s="4" t="s">
        <v>93</v>
      </c>
      <c r="K533" s="4">
        <v>72</v>
      </c>
      <c r="L533" s="4">
        <v>7</v>
      </c>
      <c r="M533" s="4" t="s">
        <v>25</v>
      </c>
      <c r="N533" s="28">
        <f ca="1" t="shared" si="0"/>
        <v>0.251531126059668</v>
      </c>
      <c r="O533" s="4" t="s">
        <v>26</v>
      </c>
      <c r="P533" s="4">
        <v>504</v>
      </c>
      <c r="Q533" s="4">
        <v>382</v>
      </c>
      <c r="R533" s="4">
        <v>19</v>
      </c>
    </row>
    <row r="534" spans="1:18">
      <c r="A534" s="4" t="s">
        <v>1170</v>
      </c>
      <c r="B534" s="4" t="s">
        <v>1162</v>
      </c>
      <c r="C534" s="4" t="s">
        <v>84</v>
      </c>
      <c r="D534" s="27">
        <v>45255</v>
      </c>
      <c r="E534" s="4" t="s">
        <v>29</v>
      </c>
      <c r="F534" s="4" t="s">
        <v>38</v>
      </c>
      <c r="G534" s="4" t="s">
        <v>1171</v>
      </c>
      <c r="H534" s="4" t="s">
        <v>40</v>
      </c>
      <c r="I534" s="4">
        <v>2</v>
      </c>
      <c r="J534" s="4" t="s">
        <v>96</v>
      </c>
      <c r="K534" s="4">
        <v>65</v>
      </c>
      <c r="L534" s="4">
        <v>3</v>
      </c>
      <c r="M534" s="4" t="s">
        <v>25</v>
      </c>
      <c r="N534" s="28">
        <f ca="1" t="shared" si="0"/>
        <v>0.622240235887823</v>
      </c>
      <c r="O534" s="4" t="s">
        <v>34</v>
      </c>
      <c r="P534" s="4">
        <v>195</v>
      </c>
      <c r="Q534" s="4">
        <v>111</v>
      </c>
      <c r="R534" s="4">
        <v>23</v>
      </c>
    </row>
    <row r="535" spans="1:18">
      <c r="A535" s="4" t="s">
        <v>1172</v>
      </c>
      <c r="B535" s="4" t="s">
        <v>1164</v>
      </c>
      <c r="C535" s="4" t="s">
        <v>118</v>
      </c>
      <c r="D535" s="27">
        <v>45243</v>
      </c>
      <c r="E535" s="4" t="s">
        <v>20</v>
      </c>
      <c r="F535" s="4" t="s">
        <v>21</v>
      </c>
      <c r="G535" s="4" t="s">
        <v>1173</v>
      </c>
      <c r="H535" s="4" t="s">
        <v>23</v>
      </c>
      <c r="I535" s="4">
        <v>9</v>
      </c>
      <c r="J535" s="4" t="s">
        <v>99</v>
      </c>
      <c r="K535" s="4">
        <v>250</v>
      </c>
      <c r="L535" s="4">
        <v>2</v>
      </c>
      <c r="M535" s="4" t="s">
        <v>25</v>
      </c>
      <c r="N535" s="28">
        <f ca="1" t="shared" si="0"/>
        <v>0.455357918894341</v>
      </c>
      <c r="O535" s="4" t="s">
        <v>42</v>
      </c>
      <c r="P535" s="4">
        <v>500</v>
      </c>
      <c r="Q535" s="4">
        <v>443</v>
      </c>
      <c r="R535" s="4">
        <v>115</v>
      </c>
    </row>
    <row r="536" spans="1:18">
      <c r="A536" s="4" t="s">
        <v>1174</v>
      </c>
      <c r="B536" s="4" t="s">
        <v>1166</v>
      </c>
      <c r="C536" s="4" t="s">
        <v>139</v>
      </c>
      <c r="D536" s="27">
        <v>45246</v>
      </c>
      <c r="E536" s="4" t="s">
        <v>29</v>
      </c>
      <c r="F536" s="4" t="s">
        <v>21</v>
      </c>
      <c r="G536" s="4" t="s">
        <v>1175</v>
      </c>
      <c r="H536" s="4" t="s">
        <v>31</v>
      </c>
      <c r="I536" s="4">
        <v>10</v>
      </c>
      <c r="J536" s="4" t="s">
        <v>103</v>
      </c>
      <c r="K536" s="4">
        <v>130</v>
      </c>
      <c r="L536" s="4">
        <v>3</v>
      </c>
      <c r="M536" s="4" t="s">
        <v>25</v>
      </c>
      <c r="N536" s="28">
        <f ca="1" t="shared" si="0"/>
        <v>0.37602156504074</v>
      </c>
      <c r="O536" s="4" t="s">
        <v>47</v>
      </c>
      <c r="P536" s="4">
        <v>390</v>
      </c>
      <c r="Q536" s="4">
        <v>153</v>
      </c>
      <c r="R536" s="4">
        <v>36</v>
      </c>
    </row>
    <row r="537" spans="1:18">
      <c r="A537" s="4" t="s">
        <v>1176</v>
      </c>
      <c r="B537" s="4" t="s">
        <v>1168</v>
      </c>
      <c r="C537" s="4" t="s">
        <v>49</v>
      </c>
      <c r="D537" s="27">
        <v>45249</v>
      </c>
      <c r="E537" s="4" t="s">
        <v>37</v>
      </c>
      <c r="F537" s="4" t="s">
        <v>21</v>
      </c>
      <c r="G537" s="4" t="s">
        <v>1177</v>
      </c>
      <c r="H537" s="4" t="s">
        <v>40</v>
      </c>
      <c r="I537" s="4">
        <v>1</v>
      </c>
      <c r="J537" s="4" t="s">
        <v>108</v>
      </c>
      <c r="K537" s="4">
        <v>60</v>
      </c>
      <c r="L537" s="4">
        <v>12</v>
      </c>
      <c r="M537" s="4" t="s">
        <v>33</v>
      </c>
      <c r="N537" s="28">
        <f ca="1" t="shared" si="0"/>
        <v>0.484817516692743</v>
      </c>
      <c r="O537" s="4" t="s">
        <v>68</v>
      </c>
      <c r="P537" s="4">
        <v>720</v>
      </c>
      <c r="Q537" s="4">
        <v>711</v>
      </c>
      <c r="R537" s="4">
        <v>25</v>
      </c>
    </row>
    <row r="538" spans="1:18">
      <c r="A538" s="4" t="s">
        <v>1178</v>
      </c>
      <c r="B538" s="4" t="s">
        <v>1170</v>
      </c>
      <c r="C538" s="4" t="s">
        <v>91</v>
      </c>
      <c r="D538" s="27">
        <v>45232</v>
      </c>
      <c r="E538" s="4" t="s">
        <v>20</v>
      </c>
      <c r="F538" s="4" t="s">
        <v>21</v>
      </c>
      <c r="G538" s="4" t="s">
        <v>1179</v>
      </c>
      <c r="H538" s="4" t="s">
        <v>23</v>
      </c>
      <c r="I538" s="4">
        <v>1</v>
      </c>
      <c r="J538" s="4" t="s">
        <v>112</v>
      </c>
      <c r="K538" s="4">
        <v>95</v>
      </c>
      <c r="L538" s="4">
        <v>3</v>
      </c>
      <c r="M538" s="4" t="s">
        <v>25</v>
      </c>
      <c r="N538" s="28">
        <f ca="1" t="shared" si="0"/>
        <v>0.211620279851639</v>
      </c>
      <c r="O538" s="4" t="s">
        <v>104</v>
      </c>
      <c r="P538" s="4">
        <v>285</v>
      </c>
      <c r="Q538" s="4">
        <v>98</v>
      </c>
      <c r="R538" s="4">
        <v>37</v>
      </c>
    </row>
    <row r="539" spans="1:18">
      <c r="A539" s="4" t="s">
        <v>1180</v>
      </c>
      <c r="B539" s="4" t="s">
        <v>1172</v>
      </c>
      <c r="C539" s="4" t="s">
        <v>146</v>
      </c>
      <c r="D539" s="27">
        <v>45258</v>
      </c>
      <c r="E539" s="4" t="s">
        <v>29</v>
      </c>
      <c r="F539" s="4" t="s">
        <v>21</v>
      </c>
      <c r="G539" s="4" t="s">
        <v>1181</v>
      </c>
      <c r="H539" s="4" t="s">
        <v>31</v>
      </c>
      <c r="I539" s="4">
        <v>10</v>
      </c>
      <c r="J539" s="4" t="s">
        <v>116</v>
      </c>
      <c r="K539" s="4">
        <v>72</v>
      </c>
      <c r="L539" s="4">
        <v>6</v>
      </c>
      <c r="M539" s="4" t="s">
        <v>25</v>
      </c>
      <c r="N539" s="28">
        <f ca="1" t="shared" si="0"/>
        <v>0.579611878054157</v>
      </c>
      <c r="O539" s="4" t="s">
        <v>26</v>
      </c>
      <c r="P539" s="4">
        <v>432</v>
      </c>
      <c r="Q539" s="4">
        <v>154</v>
      </c>
      <c r="R539" s="4">
        <v>42</v>
      </c>
    </row>
    <row r="540" spans="1:18">
      <c r="A540" s="4" t="s">
        <v>1182</v>
      </c>
      <c r="B540" s="4" t="s">
        <v>1174</v>
      </c>
      <c r="C540" s="4" t="s">
        <v>149</v>
      </c>
      <c r="D540" s="27">
        <v>45258</v>
      </c>
      <c r="E540" s="4" t="s">
        <v>29</v>
      </c>
      <c r="F540" s="4" t="s">
        <v>38</v>
      </c>
      <c r="G540" s="4" t="s">
        <v>1183</v>
      </c>
      <c r="H540" s="4" t="s">
        <v>40</v>
      </c>
      <c r="I540" s="4">
        <v>4</v>
      </c>
      <c r="J540" s="4" t="s">
        <v>120</v>
      </c>
      <c r="K540" s="4">
        <v>65</v>
      </c>
      <c r="L540" s="4">
        <v>5</v>
      </c>
      <c r="M540" s="4" t="s">
        <v>25</v>
      </c>
      <c r="N540" s="28">
        <f ca="1" t="shared" si="0"/>
        <v>0.323771100156149</v>
      </c>
      <c r="O540" s="4" t="s">
        <v>34</v>
      </c>
      <c r="P540" s="4">
        <v>325</v>
      </c>
      <c r="Q540" s="4">
        <v>94</v>
      </c>
      <c r="R540" s="4">
        <v>42</v>
      </c>
    </row>
    <row r="541" spans="1:18">
      <c r="A541" s="4" t="s">
        <v>1184</v>
      </c>
      <c r="B541" s="4" t="s">
        <v>1176</v>
      </c>
      <c r="C541" s="4" t="s">
        <v>171</v>
      </c>
      <c r="D541" s="27">
        <v>45254</v>
      </c>
      <c r="E541" s="4" t="s">
        <v>20</v>
      </c>
      <c r="F541" s="4" t="s">
        <v>21</v>
      </c>
      <c r="G541" s="4" t="s">
        <v>1185</v>
      </c>
      <c r="H541" s="4" t="s">
        <v>23</v>
      </c>
      <c r="I541" s="4">
        <v>7</v>
      </c>
      <c r="J541" s="4" t="s">
        <v>124</v>
      </c>
      <c r="K541" s="4">
        <v>250</v>
      </c>
      <c r="L541" s="4">
        <v>3</v>
      </c>
      <c r="M541" s="4" t="s">
        <v>33</v>
      </c>
      <c r="N541" s="28">
        <f ca="1" t="shared" si="0"/>
        <v>0.360654069274846</v>
      </c>
      <c r="O541" s="4" t="s">
        <v>42</v>
      </c>
      <c r="P541" s="4">
        <v>750</v>
      </c>
      <c r="Q541" s="4">
        <v>715</v>
      </c>
      <c r="R541" s="4">
        <v>83</v>
      </c>
    </row>
    <row r="542" spans="1:18">
      <c r="A542" s="4" t="s">
        <v>1186</v>
      </c>
      <c r="B542" s="4" t="s">
        <v>1178</v>
      </c>
      <c r="C542" s="4" t="s">
        <v>73</v>
      </c>
      <c r="D542" s="27">
        <v>45242</v>
      </c>
      <c r="E542" s="4" t="s">
        <v>29</v>
      </c>
      <c r="F542" s="4" t="s">
        <v>21</v>
      </c>
      <c r="G542" s="4" t="s">
        <v>1187</v>
      </c>
      <c r="H542" s="4" t="s">
        <v>31</v>
      </c>
      <c r="I542" s="4">
        <v>3</v>
      </c>
      <c r="J542" s="4" t="s">
        <v>128</v>
      </c>
      <c r="K542" s="4">
        <v>130</v>
      </c>
      <c r="L542" s="4">
        <v>5</v>
      </c>
      <c r="M542" s="4" t="s">
        <v>33</v>
      </c>
      <c r="N542" s="28">
        <f ca="1" t="shared" si="0"/>
        <v>0.790916241824962</v>
      </c>
      <c r="O542" s="4" t="s">
        <v>47</v>
      </c>
      <c r="P542" s="4">
        <v>650</v>
      </c>
      <c r="Q542" s="4">
        <v>644</v>
      </c>
      <c r="R542" s="4">
        <v>66</v>
      </c>
    </row>
    <row r="543" spans="1:18">
      <c r="A543" s="4" t="s">
        <v>1188</v>
      </c>
      <c r="B543" s="4" t="s">
        <v>1180</v>
      </c>
      <c r="C543" s="4" t="s">
        <v>176</v>
      </c>
      <c r="D543" s="27">
        <v>45256</v>
      </c>
      <c r="E543" s="4" t="s">
        <v>37</v>
      </c>
      <c r="F543" s="4" t="s">
        <v>21</v>
      </c>
      <c r="G543" s="4" t="s">
        <v>1189</v>
      </c>
      <c r="H543" s="4" t="s">
        <v>40</v>
      </c>
      <c r="I543" s="4">
        <v>6</v>
      </c>
      <c r="J543" s="4" t="s">
        <v>132</v>
      </c>
      <c r="K543" s="4">
        <v>72</v>
      </c>
      <c r="L543" s="4">
        <v>6</v>
      </c>
      <c r="M543" s="4" t="s">
        <v>33</v>
      </c>
      <c r="N543" s="28">
        <f ca="1" t="shared" si="0"/>
        <v>0.818828042827354</v>
      </c>
      <c r="O543" s="4" t="s">
        <v>26</v>
      </c>
      <c r="P543" s="4">
        <v>432</v>
      </c>
      <c r="Q543" s="4">
        <v>284</v>
      </c>
      <c r="R543" s="4">
        <v>37</v>
      </c>
    </row>
    <row r="544" spans="1:18">
      <c r="A544" s="4" t="s">
        <v>1190</v>
      </c>
      <c r="B544" s="4" t="s">
        <v>1182</v>
      </c>
      <c r="C544" s="4" t="s">
        <v>179</v>
      </c>
      <c r="D544" s="27">
        <v>45259</v>
      </c>
      <c r="E544" s="4" t="s">
        <v>20</v>
      </c>
      <c r="F544" s="4" t="s">
        <v>21</v>
      </c>
      <c r="G544" s="4" t="s">
        <v>1191</v>
      </c>
      <c r="H544" s="4" t="s">
        <v>23</v>
      </c>
      <c r="I544" s="4">
        <v>6</v>
      </c>
      <c r="J544" s="4" t="s">
        <v>136</v>
      </c>
      <c r="K544" s="4">
        <v>65</v>
      </c>
      <c r="L544" s="4">
        <v>11</v>
      </c>
      <c r="M544" s="4" t="s">
        <v>33</v>
      </c>
      <c r="N544" s="28">
        <f ca="1" t="shared" si="0"/>
        <v>0.925238768047664</v>
      </c>
      <c r="O544" s="4" t="s">
        <v>34</v>
      </c>
      <c r="P544" s="4">
        <v>715</v>
      </c>
      <c r="Q544" s="4">
        <v>197</v>
      </c>
      <c r="R544" s="4">
        <v>20</v>
      </c>
    </row>
    <row r="545" spans="1:18">
      <c r="A545" s="4" t="s">
        <v>1192</v>
      </c>
      <c r="B545" s="4" t="s">
        <v>1184</v>
      </c>
      <c r="C545" s="4" t="s">
        <v>182</v>
      </c>
      <c r="D545" s="27">
        <v>45251</v>
      </c>
      <c r="E545" s="4" t="s">
        <v>29</v>
      </c>
      <c r="F545" s="4" t="s">
        <v>21</v>
      </c>
      <c r="G545" s="4" t="s">
        <v>1193</v>
      </c>
      <c r="H545" s="4" t="s">
        <v>31</v>
      </c>
      <c r="I545" s="4">
        <v>5</v>
      </c>
      <c r="J545" s="4" t="s">
        <v>141</v>
      </c>
      <c r="K545" s="4">
        <v>250</v>
      </c>
      <c r="L545" s="4">
        <v>1</v>
      </c>
      <c r="M545" s="4" t="s">
        <v>33</v>
      </c>
      <c r="N545" s="28">
        <f ca="1" t="shared" si="0"/>
        <v>0.139237678734801</v>
      </c>
      <c r="O545" s="4" t="s">
        <v>42</v>
      </c>
      <c r="P545" s="4">
        <v>250</v>
      </c>
      <c r="Q545" s="4">
        <v>4</v>
      </c>
      <c r="R545" s="4">
        <v>93</v>
      </c>
    </row>
    <row r="546" spans="1:18">
      <c r="A546" s="4" t="s">
        <v>1194</v>
      </c>
      <c r="B546" s="4" t="s">
        <v>1186</v>
      </c>
      <c r="C546" s="4" t="s">
        <v>185</v>
      </c>
      <c r="D546" s="27">
        <v>45249</v>
      </c>
      <c r="E546" s="4" t="s">
        <v>37</v>
      </c>
      <c r="F546" s="4" t="s">
        <v>38</v>
      </c>
      <c r="G546" s="4" t="s">
        <v>1195</v>
      </c>
      <c r="H546" s="4" t="s">
        <v>40</v>
      </c>
      <c r="I546" s="4">
        <v>1</v>
      </c>
      <c r="J546" s="4" t="s">
        <v>24</v>
      </c>
      <c r="K546" s="4">
        <v>130</v>
      </c>
      <c r="L546" s="4">
        <v>3</v>
      </c>
      <c r="M546" s="4" t="s">
        <v>33</v>
      </c>
      <c r="N546" s="28">
        <f ca="1" t="shared" si="0"/>
        <v>0.610070959807271</v>
      </c>
      <c r="O546" s="4" t="s">
        <v>47</v>
      </c>
      <c r="P546" s="4">
        <v>390</v>
      </c>
      <c r="Q546" s="4">
        <v>59</v>
      </c>
      <c r="R546" s="4">
        <v>62</v>
      </c>
    </row>
    <row r="547" spans="1:18">
      <c r="A547" s="4" t="s">
        <v>1196</v>
      </c>
      <c r="B547" s="4" t="s">
        <v>1188</v>
      </c>
      <c r="C547" s="4" t="s">
        <v>188</v>
      </c>
      <c r="D547" s="27">
        <v>45259</v>
      </c>
      <c r="E547" s="4" t="s">
        <v>20</v>
      </c>
      <c r="F547" s="4" t="s">
        <v>21</v>
      </c>
      <c r="G547" s="4" t="s">
        <v>1197</v>
      </c>
      <c r="H547" s="4" t="s">
        <v>23</v>
      </c>
      <c r="I547" s="4">
        <v>9</v>
      </c>
      <c r="J547" s="4" t="s">
        <v>32</v>
      </c>
      <c r="K547" s="4">
        <v>72</v>
      </c>
      <c r="L547" s="4">
        <v>10</v>
      </c>
      <c r="M547" s="4" t="s">
        <v>25</v>
      </c>
      <c r="N547" s="28">
        <f ca="1" t="shared" si="0"/>
        <v>0.0951150742105289</v>
      </c>
      <c r="O547" s="4" t="s">
        <v>26</v>
      </c>
      <c r="P547" s="4">
        <v>720</v>
      </c>
      <c r="Q547" s="4">
        <v>540</v>
      </c>
      <c r="R547" s="4">
        <v>41</v>
      </c>
    </row>
    <row r="548" spans="1:18">
      <c r="A548" s="4" t="s">
        <v>1198</v>
      </c>
      <c r="B548" s="4" t="s">
        <v>1190</v>
      </c>
      <c r="C548" s="4" t="s">
        <v>191</v>
      </c>
      <c r="D548" s="27">
        <v>45242</v>
      </c>
      <c r="E548" s="4" t="s">
        <v>29</v>
      </c>
      <c r="F548" s="4" t="s">
        <v>21</v>
      </c>
      <c r="G548" s="4" t="s">
        <v>1199</v>
      </c>
      <c r="H548" s="4" t="s">
        <v>31</v>
      </c>
      <c r="I548" s="4">
        <v>3</v>
      </c>
      <c r="J548" s="4" t="s">
        <v>41</v>
      </c>
      <c r="K548" s="4">
        <v>65</v>
      </c>
      <c r="L548" s="4">
        <v>6</v>
      </c>
      <c r="M548" s="4" t="s">
        <v>33</v>
      </c>
      <c r="N548" s="28">
        <f ca="1" t="shared" si="0"/>
        <v>0.771223028539041</v>
      </c>
      <c r="O548" s="4" t="s">
        <v>34</v>
      </c>
      <c r="P548" s="4">
        <v>390</v>
      </c>
      <c r="Q548" s="4">
        <v>343</v>
      </c>
      <c r="R548" s="4">
        <v>40</v>
      </c>
    </row>
    <row r="549" spans="1:18">
      <c r="A549" s="4" t="s">
        <v>1200</v>
      </c>
      <c r="B549" s="4" t="s">
        <v>1192</v>
      </c>
      <c r="C549" s="4" t="s">
        <v>194</v>
      </c>
      <c r="D549" s="27">
        <v>45248</v>
      </c>
      <c r="E549" s="4" t="s">
        <v>29</v>
      </c>
      <c r="F549" s="4" t="s">
        <v>21</v>
      </c>
      <c r="G549" s="4" t="s">
        <v>1201</v>
      </c>
      <c r="H549" s="4" t="s">
        <v>40</v>
      </c>
      <c r="I549" s="4">
        <v>4</v>
      </c>
      <c r="J549" s="4" t="s">
        <v>46</v>
      </c>
      <c r="K549" s="4">
        <v>250</v>
      </c>
      <c r="L549" s="4">
        <v>2</v>
      </c>
      <c r="M549" s="4" t="s">
        <v>25</v>
      </c>
      <c r="N549" s="28">
        <f ca="1" t="shared" si="0"/>
        <v>0.440367675106819</v>
      </c>
      <c r="O549" s="4" t="s">
        <v>42</v>
      </c>
      <c r="P549" s="4">
        <v>500</v>
      </c>
      <c r="Q549" s="4">
        <v>476</v>
      </c>
      <c r="R549" s="4">
        <v>98</v>
      </c>
    </row>
    <row r="550" spans="1:18">
      <c r="A550" s="4" t="s">
        <v>1202</v>
      </c>
      <c r="B550" s="4" t="s">
        <v>1194</v>
      </c>
      <c r="C550" s="4" t="s">
        <v>197</v>
      </c>
      <c r="D550" s="27">
        <v>45253</v>
      </c>
      <c r="E550" s="4" t="s">
        <v>20</v>
      </c>
      <c r="F550" s="4" t="s">
        <v>21</v>
      </c>
      <c r="G550" s="4" t="s">
        <v>1203</v>
      </c>
      <c r="H550" s="4" t="s">
        <v>23</v>
      </c>
      <c r="I550" s="4">
        <v>8</v>
      </c>
      <c r="J550" s="4" t="s">
        <v>51</v>
      </c>
      <c r="K550" s="4">
        <v>130</v>
      </c>
      <c r="L550" s="4">
        <v>5</v>
      </c>
      <c r="M550" s="4" t="s">
        <v>33</v>
      </c>
      <c r="N550" s="28">
        <f ca="1" t="shared" si="0"/>
        <v>0.295364292071411</v>
      </c>
      <c r="O550" s="4" t="s">
        <v>47</v>
      </c>
      <c r="P550" s="4">
        <v>650</v>
      </c>
      <c r="Q550" s="4">
        <v>146</v>
      </c>
      <c r="R550" s="4">
        <v>33</v>
      </c>
    </row>
    <row r="551" spans="1:18">
      <c r="A551" s="4" t="s">
        <v>1204</v>
      </c>
      <c r="B551" s="4" t="s">
        <v>1196</v>
      </c>
      <c r="C551" s="4" t="s">
        <v>200</v>
      </c>
      <c r="D551" s="27">
        <v>45246</v>
      </c>
      <c r="E551" s="4" t="s">
        <v>29</v>
      </c>
      <c r="F551" s="4" t="s">
        <v>21</v>
      </c>
      <c r="G551" s="4" t="s">
        <v>1205</v>
      </c>
      <c r="H551" s="4" t="s">
        <v>23</v>
      </c>
      <c r="I551" s="4">
        <v>6</v>
      </c>
      <c r="J551" s="4" t="s">
        <v>55</v>
      </c>
      <c r="K551" s="4">
        <v>72</v>
      </c>
      <c r="L551" s="4">
        <v>9</v>
      </c>
      <c r="M551" s="4" t="s">
        <v>25</v>
      </c>
      <c r="N551" s="28">
        <f ca="1" t="shared" si="0"/>
        <v>0.950485680332684</v>
      </c>
      <c r="O551" s="4" t="s">
        <v>26</v>
      </c>
      <c r="P551" s="4">
        <v>648</v>
      </c>
      <c r="Q551" s="4">
        <v>255</v>
      </c>
      <c r="R551" s="4">
        <v>44</v>
      </c>
    </row>
    <row r="552" spans="1:18">
      <c r="A552" s="4" t="s">
        <v>1206</v>
      </c>
      <c r="B552" s="4" t="s">
        <v>1198</v>
      </c>
      <c r="C552" s="4" t="s">
        <v>203</v>
      </c>
      <c r="D552" s="27">
        <v>45247</v>
      </c>
      <c r="E552" s="4" t="s">
        <v>20</v>
      </c>
      <c r="F552" s="4" t="s">
        <v>21</v>
      </c>
      <c r="G552" s="4" t="s">
        <v>1207</v>
      </c>
      <c r="H552" s="4" t="s">
        <v>23</v>
      </c>
      <c r="I552" s="4">
        <v>9</v>
      </c>
      <c r="J552" s="4" t="s">
        <v>58</v>
      </c>
      <c r="K552" s="4">
        <v>65</v>
      </c>
      <c r="L552" s="4">
        <v>5</v>
      </c>
      <c r="M552" s="4" t="s">
        <v>33</v>
      </c>
      <c r="N552" s="28">
        <f ca="1" t="shared" si="0"/>
        <v>0.6829316550103</v>
      </c>
      <c r="O552" s="4" t="s">
        <v>34</v>
      </c>
      <c r="P552" s="4">
        <v>325</v>
      </c>
      <c r="Q552" s="4">
        <v>204</v>
      </c>
      <c r="R552" s="4">
        <v>40</v>
      </c>
    </row>
    <row r="553" spans="1:18">
      <c r="A553" s="4" t="s">
        <v>1208</v>
      </c>
      <c r="B553" s="4" t="s">
        <v>1200</v>
      </c>
      <c r="C553" s="4" t="s">
        <v>28</v>
      </c>
      <c r="D553" s="27">
        <v>45246</v>
      </c>
      <c r="E553" s="4" t="s">
        <v>29</v>
      </c>
      <c r="F553" s="4" t="s">
        <v>21</v>
      </c>
      <c r="G553" s="4" t="s">
        <v>1209</v>
      </c>
      <c r="H553" s="4" t="s">
        <v>31</v>
      </c>
      <c r="I553" s="4">
        <v>7</v>
      </c>
      <c r="J553" s="4" t="s">
        <v>63</v>
      </c>
      <c r="K553" s="4">
        <v>250</v>
      </c>
      <c r="L553" s="4">
        <v>1</v>
      </c>
      <c r="M553" s="4" t="s">
        <v>25</v>
      </c>
      <c r="N553" s="28">
        <f ca="1" t="shared" si="0"/>
        <v>0.785759159462012</v>
      </c>
      <c r="O553" s="4" t="s">
        <v>42</v>
      </c>
      <c r="P553" s="4">
        <v>250</v>
      </c>
      <c r="Q553" s="4">
        <v>132</v>
      </c>
      <c r="R553" s="4">
        <v>148</v>
      </c>
    </row>
    <row r="554" spans="1:18">
      <c r="A554" s="4" t="s">
        <v>1210</v>
      </c>
      <c r="B554" s="4" t="s">
        <v>1202</v>
      </c>
      <c r="C554" s="4" t="s">
        <v>36</v>
      </c>
      <c r="D554" s="27">
        <v>45251</v>
      </c>
      <c r="E554" s="4" t="s">
        <v>37</v>
      </c>
      <c r="F554" s="4" t="s">
        <v>38</v>
      </c>
      <c r="G554" s="4" t="s">
        <v>1211</v>
      </c>
      <c r="H554" s="4" t="s">
        <v>40</v>
      </c>
      <c r="I554" s="4">
        <v>8</v>
      </c>
      <c r="J554" s="4" t="s">
        <v>67</v>
      </c>
      <c r="K554" s="4">
        <v>130</v>
      </c>
      <c r="L554" s="4">
        <v>3</v>
      </c>
      <c r="M554" s="4" t="s">
        <v>33</v>
      </c>
      <c r="N554" s="28">
        <f ca="1" t="shared" si="0"/>
        <v>0.972839046415735</v>
      </c>
      <c r="O554" s="4" t="s">
        <v>47</v>
      </c>
      <c r="P554" s="4">
        <v>390</v>
      </c>
      <c r="Q554" s="4">
        <v>258</v>
      </c>
      <c r="R554" s="4">
        <v>74</v>
      </c>
    </row>
    <row r="555" spans="1:18">
      <c r="A555" s="4" t="s">
        <v>1212</v>
      </c>
      <c r="B555" s="4" t="s">
        <v>1204</v>
      </c>
      <c r="C555" s="4" t="s">
        <v>44</v>
      </c>
      <c r="D555" s="27">
        <v>45237</v>
      </c>
      <c r="E555" s="4" t="s">
        <v>20</v>
      </c>
      <c r="F555" s="4" t="s">
        <v>21</v>
      </c>
      <c r="G555" s="4" t="s">
        <v>1213</v>
      </c>
      <c r="H555" s="4" t="s">
        <v>23</v>
      </c>
      <c r="I555" s="4">
        <v>6</v>
      </c>
      <c r="J555" s="4" t="s">
        <v>71</v>
      </c>
      <c r="K555" s="4">
        <v>60</v>
      </c>
      <c r="L555" s="4">
        <v>7</v>
      </c>
      <c r="M555" s="4" t="s">
        <v>25</v>
      </c>
      <c r="N555" s="28">
        <f ca="1" t="shared" si="0"/>
        <v>0.139395196840271</v>
      </c>
      <c r="O555" s="4" t="s">
        <v>68</v>
      </c>
      <c r="P555" s="4">
        <v>420</v>
      </c>
      <c r="Q555" s="4">
        <v>216</v>
      </c>
      <c r="R555" s="4">
        <v>27</v>
      </c>
    </row>
    <row r="556" spans="1:18">
      <c r="A556" s="4" t="s">
        <v>1214</v>
      </c>
      <c r="B556" s="4" t="s">
        <v>1206</v>
      </c>
      <c r="C556" s="4" t="s">
        <v>49</v>
      </c>
      <c r="D556" s="27">
        <v>45238</v>
      </c>
      <c r="E556" s="4" t="s">
        <v>29</v>
      </c>
      <c r="F556" s="4" t="s">
        <v>21</v>
      </c>
      <c r="G556" s="4" t="s">
        <v>1215</v>
      </c>
      <c r="H556" s="4" t="s">
        <v>31</v>
      </c>
      <c r="I556" s="4">
        <v>2</v>
      </c>
      <c r="J556" s="4" t="s">
        <v>75</v>
      </c>
      <c r="K556" s="4">
        <v>72</v>
      </c>
      <c r="L556" s="4">
        <v>12</v>
      </c>
      <c r="M556" s="4" t="s">
        <v>33</v>
      </c>
      <c r="N556" s="28">
        <f ca="1" t="shared" si="0"/>
        <v>0.295519902379955</v>
      </c>
      <c r="O556" s="4" t="s">
        <v>26</v>
      </c>
      <c r="P556" s="4">
        <v>864</v>
      </c>
      <c r="Q556" s="4">
        <v>576</v>
      </c>
      <c r="R556" s="4">
        <v>24</v>
      </c>
    </row>
    <row r="557" spans="1:18">
      <c r="A557" s="4" t="s">
        <v>1216</v>
      </c>
      <c r="B557" s="4" t="s">
        <v>1208</v>
      </c>
      <c r="C557" s="4" t="s">
        <v>53</v>
      </c>
      <c r="D557" s="27">
        <v>45241</v>
      </c>
      <c r="E557" s="4" t="s">
        <v>29</v>
      </c>
      <c r="F557" s="4" t="s">
        <v>21</v>
      </c>
      <c r="G557" s="4" t="s">
        <v>1217</v>
      </c>
      <c r="H557" s="4" t="s">
        <v>40</v>
      </c>
      <c r="I557" s="4">
        <v>4</v>
      </c>
      <c r="J557" s="4" t="s">
        <v>79</v>
      </c>
      <c r="K557" s="4">
        <v>65</v>
      </c>
      <c r="L557" s="4">
        <v>12</v>
      </c>
      <c r="M557" s="4" t="s">
        <v>25</v>
      </c>
      <c r="N557" s="28">
        <f ca="1" t="shared" si="0"/>
        <v>0.789901713961008</v>
      </c>
      <c r="O557" s="4" t="s">
        <v>34</v>
      </c>
      <c r="P557" s="4">
        <v>780</v>
      </c>
      <c r="Q557" s="4">
        <v>3</v>
      </c>
      <c r="R557" s="4">
        <v>24</v>
      </c>
    </row>
    <row r="558" spans="1:18">
      <c r="A558" s="4" t="s">
        <v>1218</v>
      </c>
      <c r="B558" s="4" t="s">
        <v>1210</v>
      </c>
      <c r="C558" s="4" t="s">
        <v>61</v>
      </c>
      <c r="D558" s="27">
        <v>45243</v>
      </c>
      <c r="E558" s="4" t="s">
        <v>20</v>
      </c>
      <c r="F558" s="4" t="s">
        <v>21</v>
      </c>
      <c r="G558" s="4" t="s">
        <v>1219</v>
      </c>
      <c r="H558" s="4" t="s">
        <v>23</v>
      </c>
      <c r="I558" s="4">
        <v>1</v>
      </c>
      <c r="J558" s="4" t="s">
        <v>82</v>
      </c>
      <c r="K558" s="4">
        <v>250</v>
      </c>
      <c r="L558" s="4">
        <v>3</v>
      </c>
      <c r="M558" s="4" t="s">
        <v>33</v>
      </c>
      <c r="N558" s="28">
        <f ca="1" t="shared" si="0"/>
        <v>0.721868564822651</v>
      </c>
      <c r="O558" s="4" t="s">
        <v>42</v>
      </c>
      <c r="P558" s="4">
        <v>750</v>
      </c>
      <c r="Q558" s="4">
        <v>265</v>
      </c>
      <c r="R558" s="4">
        <v>70</v>
      </c>
    </row>
    <row r="559" spans="1:18">
      <c r="A559" s="4" t="s">
        <v>1220</v>
      </c>
      <c r="B559" s="4" t="s">
        <v>1212</v>
      </c>
      <c r="C559" s="4" t="s">
        <v>61</v>
      </c>
      <c r="D559" s="27">
        <v>45247</v>
      </c>
      <c r="E559" s="4" t="s">
        <v>29</v>
      </c>
      <c r="F559" s="4" t="s">
        <v>21</v>
      </c>
      <c r="G559" s="4" t="s">
        <v>1221</v>
      </c>
      <c r="H559" s="4" t="s">
        <v>31</v>
      </c>
      <c r="I559" s="4">
        <v>9</v>
      </c>
      <c r="J559" s="4" t="s">
        <v>86</v>
      </c>
      <c r="K559" s="4">
        <v>130</v>
      </c>
      <c r="L559" s="4">
        <v>5</v>
      </c>
      <c r="M559" s="4" t="s">
        <v>25</v>
      </c>
      <c r="N559" s="28">
        <f ca="1" t="shared" si="0"/>
        <v>0.385085760304962</v>
      </c>
      <c r="O559" s="4" t="s">
        <v>47</v>
      </c>
      <c r="P559" s="4">
        <v>650</v>
      </c>
      <c r="Q559" s="4">
        <v>245</v>
      </c>
      <c r="R559" s="4">
        <v>42</v>
      </c>
    </row>
    <row r="560" spans="1:18">
      <c r="A560" s="4" t="s">
        <v>1222</v>
      </c>
      <c r="B560" s="4" t="s">
        <v>1214</v>
      </c>
      <c r="C560" s="4" t="s">
        <v>65</v>
      </c>
      <c r="D560" s="27">
        <v>45235</v>
      </c>
      <c r="E560" s="4" t="s">
        <v>20</v>
      </c>
      <c r="F560" s="4" t="s">
        <v>38</v>
      </c>
      <c r="G560" s="4" t="s">
        <v>1223</v>
      </c>
      <c r="H560" s="4" t="s">
        <v>40</v>
      </c>
      <c r="I560" s="4">
        <v>6</v>
      </c>
      <c r="J560" s="4" t="s">
        <v>89</v>
      </c>
      <c r="K560" s="4">
        <v>72</v>
      </c>
      <c r="L560" s="4">
        <v>4</v>
      </c>
      <c r="M560" s="4" t="s">
        <v>33</v>
      </c>
      <c r="N560" s="28">
        <f ca="1" t="shared" si="0"/>
        <v>0.313618984781125</v>
      </c>
      <c r="O560" s="4" t="s">
        <v>26</v>
      </c>
      <c r="P560" s="4">
        <v>288</v>
      </c>
      <c r="Q560" s="4">
        <v>209</v>
      </c>
      <c r="R560" s="4">
        <v>35</v>
      </c>
    </row>
    <row r="561" spans="1:18">
      <c r="A561" s="4" t="s">
        <v>1224</v>
      </c>
      <c r="B561" s="4" t="s">
        <v>1216</v>
      </c>
      <c r="C561" s="4" t="s">
        <v>222</v>
      </c>
      <c r="D561" s="27">
        <v>45233</v>
      </c>
      <c r="E561" s="4" t="s">
        <v>29</v>
      </c>
      <c r="F561" s="4" t="s">
        <v>21</v>
      </c>
      <c r="G561" s="4" t="s">
        <v>1225</v>
      </c>
      <c r="H561" s="4" t="s">
        <v>23</v>
      </c>
      <c r="I561" s="4">
        <v>9</v>
      </c>
      <c r="J561" s="4" t="s">
        <v>93</v>
      </c>
      <c r="K561" s="4">
        <v>65</v>
      </c>
      <c r="L561" s="4">
        <v>9</v>
      </c>
      <c r="M561" s="4" t="s">
        <v>25</v>
      </c>
      <c r="N561" s="28">
        <f ca="1" t="shared" si="0"/>
        <v>0.937721043920236</v>
      </c>
      <c r="O561" s="4" t="s">
        <v>34</v>
      </c>
      <c r="P561" s="4">
        <v>585</v>
      </c>
      <c r="Q561" s="4">
        <v>403</v>
      </c>
      <c r="R561" s="4">
        <v>42</v>
      </c>
    </row>
    <row r="562" spans="1:18">
      <c r="A562" s="4" t="s">
        <v>1226</v>
      </c>
      <c r="B562" s="4" t="s">
        <v>1218</v>
      </c>
      <c r="C562" s="4" t="s">
        <v>73</v>
      </c>
      <c r="D562" s="27">
        <v>45241</v>
      </c>
      <c r="E562" s="4" t="s">
        <v>29</v>
      </c>
      <c r="F562" s="4" t="s">
        <v>21</v>
      </c>
      <c r="G562" s="4" t="s">
        <v>1227</v>
      </c>
      <c r="H562" s="4" t="s">
        <v>31</v>
      </c>
      <c r="I562" s="4">
        <v>9</v>
      </c>
      <c r="J562" s="4" t="s">
        <v>96</v>
      </c>
      <c r="K562" s="4">
        <v>250</v>
      </c>
      <c r="L562" s="4">
        <v>3</v>
      </c>
      <c r="M562" s="4" t="s">
        <v>33</v>
      </c>
      <c r="N562" s="28">
        <f ca="1" t="shared" si="0"/>
        <v>0.660028844548874</v>
      </c>
      <c r="O562" s="4" t="s">
        <v>42</v>
      </c>
      <c r="P562" s="4">
        <v>750</v>
      </c>
      <c r="Q562" s="4">
        <v>292</v>
      </c>
      <c r="R562" s="4">
        <v>110</v>
      </c>
    </row>
    <row r="563" spans="1:18">
      <c r="A563" s="4" t="s">
        <v>1228</v>
      </c>
      <c r="B563" s="4" t="s">
        <v>1220</v>
      </c>
      <c r="C563" s="4" t="s">
        <v>77</v>
      </c>
      <c r="D563" s="27">
        <v>45258</v>
      </c>
      <c r="E563" s="4" t="s">
        <v>20</v>
      </c>
      <c r="F563" s="4" t="s">
        <v>21</v>
      </c>
      <c r="G563" s="4" t="s">
        <v>1229</v>
      </c>
      <c r="H563" s="4" t="s">
        <v>40</v>
      </c>
      <c r="I563" s="4">
        <v>3</v>
      </c>
      <c r="J563" s="4" t="s">
        <v>99</v>
      </c>
      <c r="K563" s="4">
        <v>130</v>
      </c>
      <c r="L563" s="4">
        <v>5</v>
      </c>
      <c r="M563" s="4" t="s">
        <v>25</v>
      </c>
      <c r="N563" s="28">
        <f ca="1" t="shared" si="0"/>
        <v>0.374107255521555</v>
      </c>
      <c r="O563" s="4" t="s">
        <v>47</v>
      </c>
      <c r="P563" s="4">
        <v>650</v>
      </c>
      <c r="Q563" s="4">
        <v>113</v>
      </c>
      <c r="R563" s="4">
        <v>56</v>
      </c>
    </row>
    <row r="564" spans="1:18">
      <c r="A564" s="4" t="s">
        <v>1230</v>
      </c>
      <c r="B564" s="4" t="s">
        <v>1222</v>
      </c>
      <c r="C564" s="4" t="s">
        <v>229</v>
      </c>
      <c r="D564" s="27">
        <v>45231</v>
      </c>
      <c r="E564" s="4" t="s">
        <v>29</v>
      </c>
      <c r="F564" s="4" t="s">
        <v>21</v>
      </c>
      <c r="G564" s="4" t="s">
        <v>1231</v>
      </c>
      <c r="H564" s="4" t="s">
        <v>23</v>
      </c>
      <c r="I564" s="4">
        <v>2</v>
      </c>
      <c r="J564" s="4" t="s">
        <v>103</v>
      </c>
      <c r="K564" s="4">
        <v>60</v>
      </c>
      <c r="L564" s="4">
        <v>4</v>
      </c>
      <c r="M564" s="4" t="s">
        <v>25</v>
      </c>
      <c r="N564" s="28">
        <f ca="1" t="shared" si="0"/>
        <v>0.502800539152296</v>
      </c>
      <c r="O564" s="4" t="s">
        <v>68</v>
      </c>
      <c r="P564" s="4">
        <v>240</v>
      </c>
      <c r="Q564" s="4">
        <v>156</v>
      </c>
      <c r="R564" s="4">
        <v>18</v>
      </c>
    </row>
    <row r="565" spans="1:18">
      <c r="A565" s="4" t="s">
        <v>1232</v>
      </c>
      <c r="B565" s="4" t="s">
        <v>1224</v>
      </c>
      <c r="C565" s="4" t="s">
        <v>84</v>
      </c>
      <c r="D565" s="27">
        <v>45242</v>
      </c>
      <c r="E565" s="4" t="s">
        <v>29</v>
      </c>
      <c r="F565" s="4" t="s">
        <v>21</v>
      </c>
      <c r="G565" s="4" t="s">
        <v>1233</v>
      </c>
      <c r="H565" s="4" t="s">
        <v>31</v>
      </c>
      <c r="I565" s="4">
        <v>3</v>
      </c>
      <c r="J565" s="4" t="s">
        <v>108</v>
      </c>
      <c r="K565" s="4">
        <v>95</v>
      </c>
      <c r="L565" s="4">
        <v>8</v>
      </c>
      <c r="M565" s="4" t="s">
        <v>33</v>
      </c>
      <c r="N565" s="28">
        <f ca="1" t="shared" si="0"/>
        <v>0.722609700386768</v>
      </c>
      <c r="O565" s="4" t="s">
        <v>104</v>
      </c>
      <c r="P565" s="4">
        <v>760</v>
      </c>
      <c r="Q565" s="4">
        <v>351</v>
      </c>
      <c r="R565" s="4">
        <v>44</v>
      </c>
    </row>
    <row r="566" spans="1:18">
      <c r="A566" s="4" t="s">
        <v>1234</v>
      </c>
      <c r="B566" s="4" t="s">
        <v>1226</v>
      </c>
      <c r="C566" s="4" t="s">
        <v>200</v>
      </c>
      <c r="D566" s="27">
        <v>45233</v>
      </c>
      <c r="E566" s="4" t="s">
        <v>20</v>
      </c>
      <c r="F566" s="4" t="s">
        <v>38</v>
      </c>
      <c r="G566" s="4" t="s">
        <v>1235</v>
      </c>
      <c r="H566" s="4" t="s">
        <v>40</v>
      </c>
      <c r="I566" s="4">
        <v>10</v>
      </c>
      <c r="J566" s="4" t="s">
        <v>112</v>
      </c>
      <c r="K566" s="4">
        <v>72</v>
      </c>
      <c r="L566" s="4">
        <v>9</v>
      </c>
      <c r="M566" s="4" t="s">
        <v>33</v>
      </c>
      <c r="N566" s="28">
        <f ca="1" t="shared" ref="N566:N629" si="1" xml:space="preserve">RAND()</f>
        <v>0.722236793767771</v>
      </c>
      <c r="O566" s="4" t="s">
        <v>26</v>
      </c>
      <c r="P566" s="4">
        <v>648</v>
      </c>
      <c r="Q566" s="4">
        <v>366</v>
      </c>
      <c r="R566" s="4">
        <v>44</v>
      </c>
    </row>
    <row r="567" spans="1:18">
      <c r="A567" s="4" t="s">
        <v>1236</v>
      </c>
      <c r="B567" s="4" t="s">
        <v>1228</v>
      </c>
      <c r="C567" s="4" t="s">
        <v>203</v>
      </c>
      <c r="D567" s="27">
        <v>45231</v>
      </c>
      <c r="E567" s="4" t="s">
        <v>29</v>
      </c>
      <c r="F567" s="4" t="s">
        <v>21</v>
      </c>
      <c r="G567" s="4" t="s">
        <v>1237</v>
      </c>
      <c r="H567" s="4" t="s">
        <v>23</v>
      </c>
      <c r="I567" s="4">
        <v>3</v>
      </c>
      <c r="J567" s="4" t="s">
        <v>116</v>
      </c>
      <c r="K567" s="4">
        <v>65</v>
      </c>
      <c r="L567" s="4">
        <v>6</v>
      </c>
      <c r="M567" s="4" t="s">
        <v>33</v>
      </c>
      <c r="N567" s="28">
        <f ca="1" t="shared" si="1"/>
        <v>0.469626375121041</v>
      </c>
      <c r="O567" s="4" t="s">
        <v>34</v>
      </c>
      <c r="P567" s="4">
        <v>390</v>
      </c>
      <c r="Q567" s="4">
        <v>320</v>
      </c>
      <c r="R567" s="4">
        <v>27</v>
      </c>
    </row>
    <row r="568" spans="1:18">
      <c r="A568" s="4" t="s">
        <v>1238</v>
      </c>
      <c r="B568" s="4" t="s">
        <v>1230</v>
      </c>
      <c r="C568" s="4" t="s">
        <v>28</v>
      </c>
      <c r="D568" s="27">
        <v>45250</v>
      </c>
      <c r="E568" s="4" t="s">
        <v>20</v>
      </c>
      <c r="F568" s="4" t="s">
        <v>21</v>
      </c>
      <c r="G568" s="4" t="s">
        <v>1239</v>
      </c>
      <c r="H568" s="4" t="s">
        <v>31</v>
      </c>
      <c r="I568" s="4">
        <v>1</v>
      </c>
      <c r="J568" s="4" t="s">
        <v>120</v>
      </c>
      <c r="K568" s="4">
        <v>250</v>
      </c>
      <c r="L568" s="4">
        <v>4</v>
      </c>
      <c r="M568" s="4" t="s">
        <v>25</v>
      </c>
      <c r="N568" s="28">
        <f ca="1" t="shared" si="1"/>
        <v>0.853560306080323</v>
      </c>
      <c r="O568" s="4" t="s">
        <v>42</v>
      </c>
      <c r="P568" s="4">
        <v>1000</v>
      </c>
      <c r="Q568" s="4">
        <v>799</v>
      </c>
      <c r="R568" s="4">
        <v>75</v>
      </c>
    </row>
    <row r="569" spans="1:18">
      <c r="A569" s="4" t="s">
        <v>1240</v>
      </c>
      <c r="B569" s="4" t="s">
        <v>1232</v>
      </c>
      <c r="C569" s="4" t="s">
        <v>36</v>
      </c>
      <c r="D569" s="27">
        <v>45241</v>
      </c>
      <c r="E569" s="4" t="s">
        <v>29</v>
      </c>
      <c r="F569" s="4" t="s">
        <v>21</v>
      </c>
      <c r="G569" s="4" t="s">
        <v>1241</v>
      </c>
      <c r="H569" s="4" t="s">
        <v>40</v>
      </c>
      <c r="I569" s="4">
        <v>5</v>
      </c>
      <c r="J569" s="4" t="s">
        <v>124</v>
      </c>
      <c r="K569" s="4">
        <v>130</v>
      </c>
      <c r="L569" s="4">
        <v>4</v>
      </c>
      <c r="M569" s="4" t="s">
        <v>25</v>
      </c>
      <c r="N569" s="28">
        <f ca="1" t="shared" si="1"/>
        <v>0.609969779450895</v>
      </c>
      <c r="O569" s="4" t="s">
        <v>47</v>
      </c>
      <c r="P569" s="4">
        <v>520</v>
      </c>
      <c r="Q569" s="4">
        <v>301</v>
      </c>
      <c r="R569" s="4">
        <v>33</v>
      </c>
    </row>
    <row r="570" spans="1:18">
      <c r="A570" s="4" t="s">
        <v>1242</v>
      </c>
      <c r="B570" s="4" t="s">
        <v>1234</v>
      </c>
      <c r="C570" s="4" t="s">
        <v>44</v>
      </c>
      <c r="D570" s="27">
        <v>45257</v>
      </c>
      <c r="E570" s="4" t="s">
        <v>20</v>
      </c>
      <c r="F570" s="4" t="s">
        <v>21</v>
      </c>
      <c r="G570" s="4" t="s">
        <v>1243</v>
      </c>
      <c r="H570" s="4" t="s">
        <v>23</v>
      </c>
      <c r="I570" s="4">
        <v>1</v>
      </c>
      <c r="J570" s="4" t="s">
        <v>128</v>
      </c>
      <c r="K570" s="4">
        <v>72</v>
      </c>
      <c r="L570" s="4">
        <v>9</v>
      </c>
      <c r="M570" s="4" t="s">
        <v>25</v>
      </c>
      <c r="N570" s="28">
        <f ca="1" t="shared" si="1"/>
        <v>0.274876344748667</v>
      </c>
      <c r="O570" s="4" t="s">
        <v>26</v>
      </c>
      <c r="P570" s="4">
        <v>648</v>
      </c>
      <c r="Q570" s="4">
        <v>478</v>
      </c>
      <c r="R570" s="4">
        <v>37</v>
      </c>
    </row>
    <row r="571" spans="1:18">
      <c r="A571" s="4" t="s">
        <v>1244</v>
      </c>
      <c r="B571" s="4" t="s">
        <v>1236</v>
      </c>
      <c r="C571" s="4" t="s">
        <v>49</v>
      </c>
      <c r="D571" s="27">
        <v>45245</v>
      </c>
      <c r="E571" s="4" t="s">
        <v>29</v>
      </c>
      <c r="F571" s="4" t="s">
        <v>21</v>
      </c>
      <c r="G571" s="4" t="s">
        <v>1245</v>
      </c>
      <c r="H571" s="4" t="s">
        <v>31</v>
      </c>
      <c r="I571" s="4">
        <v>5</v>
      </c>
      <c r="J571" s="4" t="s">
        <v>132</v>
      </c>
      <c r="K571" s="4">
        <v>65</v>
      </c>
      <c r="L571" s="4">
        <v>8</v>
      </c>
      <c r="M571" s="4" t="s">
        <v>25</v>
      </c>
      <c r="N571" s="28">
        <f ca="1" t="shared" si="1"/>
        <v>0.518059309425046</v>
      </c>
      <c r="O571" s="4" t="s">
        <v>34</v>
      </c>
      <c r="P571" s="4">
        <v>520</v>
      </c>
      <c r="Q571" s="4">
        <v>301</v>
      </c>
      <c r="R571" s="4">
        <v>20</v>
      </c>
    </row>
    <row r="572" spans="1:18">
      <c r="A572" s="4" t="s">
        <v>1246</v>
      </c>
      <c r="B572" s="4" t="s">
        <v>1238</v>
      </c>
      <c r="C572" s="4" t="s">
        <v>53</v>
      </c>
      <c r="D572" s="27">
        <v>45232</v>
      </c>
      <c r="E572" s="4" t="s">
        <v>37</v>
      </c>
      <c r="F572" s="4" t="s">
        <v>38</v>
      </c>
      <c r="G572" s="4" t="s">
        <v>1247</v>
      </c>
      <c r="H572" s="4" t="s">
        <v>40</v>
      </c>
      <c r="I572" s="4">
        <v>5</v>
      </c>
      <c r="J572" s="4" t="s">
        <v>136</v>
      </c>
      <c r="K572" s="4">
        <v>250</v>
      </c>
      <c r="L572" s="4">
        <v>1</v>
      </c>
      <c r="M572" s="4" t="s">
        <v>25</v>
      </c>
      <c r="N572" s="28">
        <f ca="1" t="shared" si="1"/>
        <v>0.103673915173081</v>
      </c>
      <c r="O572" s="4" t="s">
        <v>42</v>
      </c>
      <c r="P572" s="4">
        <v>250</v>
      </c>
      <c r="Q572" s="4">
        <v>60</v>
      </c>
      <c r="R572" s="4">
        <v>100</v>
      </c>
    </row>
    <row r="573" spans="1:18">
      <c r="A573" s="4" t="s">
        <v>1248</v>
      </c>
      <c r="B573" s="4" t="s">
        <v>1240</v>
      </c>
      <c r="C573" s="4" t="s">
        <v>61</v>
      </c>
      <c r="D573" s="27">
        <v>45233</v>
      </c>
      <c r="E573" s="4" t="s">
        <v>20</v>
      </c>
      <c r="F573" s="4" t="s">
        <v>21</v>
      </c>
      <c r="G573" s="4" t="s">
        <v>1249</v>
      </c>
      <c r="H573" s="4" t="s">
        <v>23</v>
      </c>
      <c r="I573" s="4">
        <v>3</v>
      </c>
      <c r="J573" s="4" t="s">
        <v>141</v>
      </c>
      <c r="K573" s="4">
        <v>130</v>
      </c>
      <c r="L573" s="4">
        <v>3</v>
      </c>
      <c r="M573" s="4" t="s">
        <v>25</v>
      </c>
      <c r="N573" s="28">
        <f ca="1" t="shared" si="1"/>
        <v>0.130996870315862</v>
      </c>
      <c r="O573" s="4" t="s">
        <v>47</v>
      </c>
      <c r="P573" s="4">
        <v>390</v>
      </c>
      <c r="Q573" s="4">
        <v>142</v>
      </c>
      <c r="R573" s="4">
        <v>62</v>
      </c>
    </row>
    <row r="574" spans="1:18">
      <c r="A574" s="4" t="s">
        <v>1250</v>
      </c>
      <c r="B574" s="4" t="s">
        <v>1242</v>
      </c>
      <c r="C574" s="4" t="s">
        <v>61</v>
      </c>
      <c r="D574" s="27">
        <v>45232</v>
      </c>
      <c r="E574" s="4" t="s">
        <v>29</v>
      </c>
      <c r="F574" s="4" t="s">
        <v>21</v>
      </c>
      <c r="G574" s="4" t="s">
        <v>1251</v>
      </c>
      <c r="H574" s="4" t="s">
        <v>31</v>
      </c>
      <c r="I574" s="4">
        <v>3</v>
      </c>
      <c r="J574" s="4" t="s">
        <v>24</v>
      </c>
      <c r="K574" s="4">
        <v>60</v>
      </c>
      <c r="L574" s="4">
        <v>13</v>
      </c>
      <c r="M574" s="4" t="s">
        <v>25</v>
      </c>
      <c r="N574" s="28">
        <f ca="1" t="shared" si="1"/>
        <v>0.913456539880664</v>
      </c>
      <c r="O574" s="4" t="s">
        <v>68</v>
      </c>
      <c r="P574" s="4">
        <v>780</v>
      </c>
      <c r="Q574" s="4">
        <v>230</v>
      </c>
      <c r="R574" s="4">
        <v>29</v>
      </c>
    </row>
    <row r="575" spans="1:18">
      <c r="A575" s="4" t="s">
        <v>1252</v>
      </c>
      <c r="B575" s="4" t="s">
        <v>1244</v>
      </c>
      <c r="C575" s="4" t="s">
        <v>65</v>
      </c>
      <c r="D575" s="27">
        <v>45253</v>
      </c>
      <c r="E575" s="4" t="s">
        <v>29</v>
      </c>
      <c r="F575" s="4" t="s">
        <v>21</v>
      </c>
      <c r="G575" s="4" t="s">
        <v>1253</v>
      </c>
      <c r="H575" s="4" t="s">
        <v>40</v>
      </c>
      <c r="I575" s="4">
        <v>7</v>
      </c>
      <c r="J575" s="4" t="s">
        <v>32</v>
      </c>
      <c r="K575" s="4">
        <v>72</v>
      </c>
      <c r="L575" s="4">
        <v>4</v>
      </c>
      <c r="M575" s="4" t="s">
        <v>25</v>
      </c>
      <c r="N575" s="28">
        <f ca="1" t="shared" si="1"/>
        <v>0.482530207452921</v>
      </c>
      <c r="O575" s="4" t="s">
        <v>26</v>
      </c>
      <c r="P575" s="4">
        <v>288</v>
      </c>
      <c r="Q575" s="4">
        <v>47</v>
      </c>
      <c r="R575" s="4">
        <v>34</v>
      </c>
    </row>
    <row r="576" spans="1:18">
      <c r="A576" s="4" t="s">
        <v>1254</v>
      </c>
      <c r="B576" s="4" t="s">
        <v>1246</v>
      </c>
      <c r="C576" s="4" t="s">
        <v>53</v>
      </c>
      <c r="D576" s="27">
        <v>45256</v>
      </c>
      <c r="E576" s="4" t="s">
        <v>20</v>
      </c>
      <c r="F576" s="4" t="s">
        <v>21</v>
      </c>
      <c r="G576" s="4" t="s">
        <v>1255</v>
      </c>
      <c r="H576" s="4" t="s">
        <v>23</v>
      </c>
      <c r="I576" s="4">
        <v>4</v>
      </c>
      <c r="J576" s="4" t="s">
        <v>86</v>
      </c>
      <c r="K576" s="4">
        <v>65</v>
      </c>
      <c r="L576" s="4">
        <v>12</v>
      </c>
      <c r="M576" s="4" t="s">
        <v>25</v>
      </c>
      <c r="N576" s="28">
        <f ca="1" t="shared" si="1"/>
        <v>0.596972218313893</v>
      </c>
      <c r="O576" s="4" t="s">
        <v>34</v>
      </c>
      <c r="P576" s="4">
        <v>780</v>
      </c>
      <c r="Q576" s="4">
        <v>671</v>
      </c>
      <c r="R576" s="4">
        <v>18</v>
      </c>
    </row>
    <row r="577" spans="1:18">
      <c r="A577" s="4" t="s">
        <v>1256</v>
      </c>
      <c r="B577" s="4" t="s">
        <v>1248</v>
      </c>
      <c r="C577" s="4" t="s">
        <v>73</v>
      </c>
      <c r="D577" s="27">
        <v>45232</v>
      </c>
      <c r="E577" s="4" t="s">
        <v>29</v>
      </c>
      <c r="F577" s="4" t="s">
        <v>21</v>
      </c>
      <c r="G577" s="4" t="s">
        <v>1257</v>
      </c>
      <c r="H577" s="4" t="s">
        <v>31</v>
      </c>
      <c r="I577" s="4">
        <v>3</v>
      </c>
      <c r="J577" s="4" t="s">
        <v>89</v>
      </c>
      <c r="K577" s="4">
        <v>250</v>
      </c>
      <c r="L577" s="4">
        <v>3</v>
      </c>
      <c r="M577" s="4" t="s">
        <v>33</v>
      </c>
      <c r="N577" s="28">
        <f ca="1" t="shared" si="1"/>
        <v>0.74607758854946</v>
      </c>
      <c r="O577" s="4" t="s">
        <v>42</v>
      </c>
      <c r="P577" s="4">
        <v>750</v>
      </c>
      <c r="Q577" s="4">
        <v>574</v>
      </c>
      <c r="R577" s="4">
        <v>68</v>
      </c>
    </row>
    <row r="578" spans="1:18">
      <c r="A578" s="4" t="s">
        <v>1258</v>
      </c>
      <c r="B578" s="4" t="s">
        <v>1250</v>
      </c>
      <c r="C578" s="4" t="s">
        <v>77</v>
      </c>
      <c r="D578" s="27">
        <v>45244</v>
      </c>
      <c r="E578" s="4" t="s">
        <v>20</v>
      </c>
      <c r="F578" s="4" t="s">
        <v>38</v>
      </c>
      <c r="G578" s="4" t="s">
        <v>1259</v>
      </c>
      <c r="H578" s="4" t="s">
        <v>40</v>
      </c>
      <c r="I578" s="4">
        <v>8</v>
      </c>
      <c r="J578" s="4" t="s">
        <v>93</v>
      </c>
      <c r="K578" s="4">
        <v>130</v>
      </c>
      <c r="L578" s="4">
        <v>6</v>
      </c>
      <c r="M578" s="4" t="s">
        <v>25</v>
      </c>
      <c r="N578" s="28">
        <f ca="1" t="shared" si="1"/>
        <v>0.00408388750106581</v>
      </c>
      <c r="O578" s="4" t="s">
        <v>47</v>
      </c>
      <c r="P578" s="4">
        <v>780</v>
      </c>
      <c r="Q578" s="4">
        <v>35</v>
      </c>
      <c r="R578" s="4">
        <v>65</v>
      </c>
    </row>
    <row r="579" spans="1:18">
      <c r="A579" s="4" t="s">
        <v>1260</v>
      </c>
      <c r="B579" s="4" t="s">
        <v>1252</v>
      </c>
      <c r="C579" s="4" t="s">
        <v>229</v>
      </c>
      <c r="D579" s="27">
        <v>45255</v>
      </c>
      <c r="E579" s="4" t="s">
        <v>29</v>
      </c>
      <c r="F579" s="4" t="s">
        <v>21</v>
      </c>
      <c r="G579" s="4" t="s">
        <v>1261</v>
      </c>
      <c r="H579" s="4" t="s">
        <v>23</v>
      </c>
      <c r="I579" s="4">
        <v>2</v>
      </c>
      <c r="J579" s="4" t="s">
        <v>96</v>
      </c>
      <c r="K579" s="4">
        <v>72</v>
      </c>
      <c r="L579" s="4">
        <v>5</v>
      </c>
      <c r="M579" s="4" t="s">
        <v>25</v>
      </c>
      <c r="N579" s="28">
        <f ca="1" t="shared" si="1"/>
        <v>0.0100197457651372</v>
      </c>
      <c r="O579" s="4" t="s">
        <v>26</v>
      </c>
      <c r="P579" s="4">
        <v>360</v>
      </c>
      <c r="Q579" s="4">
        <v>343</v>
      </c>
      <c r="R579" s="4">
        <v>37</v>
      </c>
    </row>
    <row r="580" spans="1:18">
      <c r="A580" s="4" t="s">
        <v>1262</v>
      </c>
      <c r="B580" s="4" t="s">
        <v>1254</v>
      </c>
      <c r="C580" s="4" t="s">
        <v>84</v>
      </c>
      <c r="D580" s="27">
        <v>45249</v>
      </c>
      <c r="E580" s="4" t="s">
        <v>29</v>
      </c>
      <c r="F580" s="4" t="s">
        <v>21</v>
      </c>
      <c r="G580" s="4" t="s">
        <v>1263</v>
      </c>
      <c r="H580" s="4" t="s">
        <v>31</v>
      </c>
      <c r="I580" s="4">
        <v>9</v>
      </c>
      <c r="J580" s="4" t="s">
        <v>58</v>
      </c>
      <c r="K580" s="4">
        <v>65</v>
      </c>
      <c r="L580" s="4">
        <v>11</v>
      </c>
      <c r="M580" s="4" t="s">
        <v>25</v>
      </c>
      <c r="N580" s="28">
        <f ca="1" t="shared" si="1"/>
        <v>0.991827755166519</v>
      </c>
      <c r="O580" s="4" t="s">
        <v>34</v>
      </c>
      <c r="P580" s="4">
        <v>715</v>
      </c>
      <c r="Q580" s="4">
        <v>42</v>
      </c>
      <c r="R580" s="4">
        <v>35</v>
      </c>
    </row>
    <row r="581" spans="1:18">
      <c r="A581" s="4" t="s">
        <v>1264</v>
      </c>
      <c r="B581" s="4" t="s">
        <v>1256</v>
      </c>
      <c r="C581" s="4" t="s">
        <v>53</v>
      </c>
      <c r="D581" s="27">
        <v>45240</v>
      </c>
      <c r="E581" s="4" t="s">
        <v>20</v>
      </c>
      <c r="F581" s="4" t="s">
        <v>21</v>
      </c>
      <c r="G581" s="4" t="s">
        <v>1265</v>
      </c>
      <c r="H581" s="4" t="s">
        <v>40</v>
      </c>
      <c r="I581" s="4">
        <v>6</v>
      </c>
      <c r="J581" s="4" t="s">
        <v>63</v>
      </c>
      <c r="K581" s="4">
        <v>250</v>
      </c>
      <c r="L581" s="4">
        <v>2</v>
      </c>
      <c r="M581" s="4" t="s">
        <v>25</v>
      </c>
      <c r="N581" s="28">
        <f ca="1" t="shared" si="1"/>
        <v>0.340745353557926</v>
      </c>
      <c r="O581" s="4" t="s">
        <v>42</v>
      </c>
      <c r="P581" s="4">
        <v>500</v>
      </c>
      <c r="Q581" s="4">
        <v>218</v>
      </c>
      <c r="R581" s="4">
        <v>108</v>
      </c>
    </row>
    <row r="582" spans="1:18">
      <c r="A582" s="4" t="s">
        <v>1266</v>
      </c>
      <c r="B582" s="4" t="s">
        <v>1258</v>
      </c>
      <c r="C582" s="4" t="s">
        <v>91</v>
      </c>
      <c r="D582" s="27">
        <v>45245</v>
      </c>
      <c r="E582" s="4" t="s">
        <v>29</v>
      </c>
      <c r="F582" s="4" t="s">
        <v>21</v>
      </c>
      <c r="G582" s="4" t="s">
        <v>1267</v>
      </c>
      <c r="H582" s="4" t="s">
        <v>23</v>
      </c>
      <c r="I582" s="4">
        <v>7</v>
      </c>
      <c r="J582" s="4" t="s">
        <v>67</v>
      </c>
      <c r="K582" s="4">
        <v>130</v>
      </c>
      <c r="L582" s="4">
        <v>2</v>
      </c>
      <c r="M582" s="4" t="s">
        <v>25</v>
      </c>
      <c r="N582" s="28">
        <f ca="1" t="shared" si="1"/>
        <v>0.815819513026831</v>
      </c>
      <c r="O582" s="4" t="s">
        <v>47</v>
      </c>
      <c r="P582" s="4">
        <v>260</v>
      </c>
      <c r="Q582" s="4">
        <v>162</v>
      </c>
      <c r="R582" s="4">
        <v>49</v>
      </c>
    </row>
    <row r="583" spans="1:18">
      <c r="A583" s="4" t="s">
        <v>1268</v>
      </c>
      <c r="B583" s="4" t="s">
        <v>1260</v>
      </c>
      <c r="C583" s="4" t="s">
        <v>77</v>
      </c>
      <c r="D583" s="27">
        <v>45259</v>
      </c>
      <c r="E583" s="4" t="s">
        <v>29</v>
      </c>
      <c r="F583" s="4" t="s">
        <v>21</v>
      </c>
      <c r="G583" s="4" t="s">
        <v>1269</v>
      </c>
      <c r="H583" s="4" t="s">
        <v>31</v>
      </c>
      <c r="I583" s="4">
        <v>9</v>
      </c>
      <c r="J583" s="4" t="s">
        <v>103</v>
      </c>
      <c r="K583" s="4">
        <v>60</v>
      </c>
      <c r="L583" s="4">
        <v>10</v>
      </c>
      <c r="M583" s="4" t="s">
        <v>33</v>
      </c>
      <c r="N583" s="28">
        <f ca="1" t="shared" si="1"/>
        <v>0.401333460422899</v>
      </c>
      <c r="O583" s="4" t="s">
        <v>68</v>
      </c>
      <c r="P583" s="4">
        <v>600</v>
      </c>
      <c r="Q583" s="4">
        <v>266</v>
      </c>
      <c r="R583" s="4">
        <v>39</v>
      </c>
    </row>
    <row r="584" spans="1:18">
      <c r="A584" s="4" t="s">
        <v>1270</v>
      </c>
      <c r="B584" s="4" t="s">
        <v>1262</v>
      </c>
      <c r="C584" s="4" t="s">
        <v>49</v>
      </c>
      <c r="D584" s="27">
        <v>45248</v>
      </c>
      <c r="E584" s="4" t="s">
        <v>20</v>
      </c>
      <c r="F584" s="4" t="s">
        <v>38</v>
      </c>
      <c r="G584" s="4" t="s">
        <v>1271</v>
      </c>
      <c r="H584" s="4" t="s">
        <v>40</v>
      </c>
      <c r="I584" s="4">
        <v>2</v>
      </c>
      <c r="J584" s="4" t="s">
        <v>108</v>
      </c>
      <c r="K584" s="4">
        <v>95</v>
      </c>
      <c r="L584" s="4">
        <v>6</v>
      </c>
      <c r="M584" s="4" t="s">
        <v>25</v>
      </c>
      <c r="N584" s="28">
        <f ca="1" t="shared" si="1"/>
        <v>0.661558949358599</v>
      </c>
      <c r="O584" s="4" t="s">
        <v>104</v>
      </c>
      <c r="P584" s="4">
        <v>570</v>
      </c>
      <c r="Q584" s="4">
        <v>351</v>
      </c>
      <c r="R584" s="4">
        <v>47</v>
      </c>
    </row>
    <row r="585" spans="1:18">
      <c r="A585" s="4" t="s">
        <v>1272</v>
      </c>
      <c r="B585" s="4" t="s">
        <v>1264</v>
      </c>
      <c r="C585" s="4" t="s">
        <v>73</v>
      </c>
      <c r="D585" s="27">
        <v>45236</v>
      </c>
      <c r="E585" s="4" t="s">
        <v>29</v>
      </c>
      <c r="F585" s="4" t="s">
        <v>21</v>
      </c>
      <c r="G585" s="4" t="s">
        <v>1273</v>
      </c>
      <c r="H585" s="4" t="s">
        <v>23</v>
      </c>
      <c r="I585" s="4">
        <v>9</v>
      </c>
      <c r="J585" s="4" t="s">
        <v>112</v>
      </c>
      <c r="K585" s="4">
        <v>72</v>
      </c>
      <c r="L585" s="4">
        <v>7</v>
      </c>
      <c r="M585" s="4" t="s">
        <v>25</v>
      </c>
      <c r="N585" s="28">
        <f ca="1" t="shared" si="1"/>
        <v>0.290261812970173</v>
      </c>
      <c r="O585" s="4" t="s">
        <v>26</v>
      </c>
      <c r="P585" s="4">
        <v>504</v>
      </c>
      <c r="Q585" s="4">
        <v>384</v>
      </c>
      <c r="R585" s="4">
        <v>46</v>
      </c>
    </row>
    <row r="586" spans="1:18">
      <c r="A586" s="4" t="s">
        <v>1274</v>
      </c>
      <c r="B586" s="4" t="s">
        <v>1266</v>
      </c>
      <c r="C586" s="4" t="s">
        <v>106</v>
      </c>
      <c r="D586" s="27">
        <v>45245</v>
      </c>
      <c r="E586" s="4" t="s">
        <v>20</v>
      </c>
      <c r="F586" s="4" t="s">
        <v>21</v>
      </c>
      <c r="G586" s="4" t="s">
        <v>1275</v>
      </c>
      <c r="H586" s="4" t="s">
        <v>31</v>
      </c>
      <c r="I586" s="4">
        <v>10</v>
      </c>
      <c r="J586" s="4" t="s">
        <v>116</v>
      </c>
      <c r="K586" s="4">
        <v>65</v>
      </c>
      <c r="L586" s="4">
        <v>8</v>
      </c>
      <c r="M586" s="4" t="s">
        <v>25</v>
      </c>
      <c r="N586" s="28">
        <f ca="1" t="shared" si="1"/>
        <v>0.840722431900557</v>
      </c>
      <c r="O586" s="4" t="s">
        <v>34</v>
      </c>
      <c r="P586" s="4">
        <v>520</v>
      </c>
      <c r="Q586" s="4">
        <v>121</v>
      </c>
      <c r="R586" s="4">
        <v>34</v>
      </c>
    </row>
    <row r="587" spans="1:18">
      <c r="A587" s="4" t="s">
        <v>1276</v>
      </c>
      <c r="B587" s="4" t="s">
        <v>1268</v>
      </c>
      <c r="C587" s="4" t="s">
        <v>110</v>
      </c>
      <c r="D587" s="27">
        <v>45244</v>
      </c>
      <c r="E587" s="4" t="s">
        <v>29</v>
      </c>
      <c r="F587" s="4" t="s">
        <v>21</v>
      </c>
      <c r="G587" s="4" t="s">
        <v>1277</v>
      </c>
      <c r="H587" s="4" t="s">
        <v>40</v>
      </c>
      <c r="I587" s="4">
        <v>1</v>
      </c>
      <c r="J587" s="4" t="s">
        <v>120</v>
      </c>
      <c r="K587" s="4">
        <v>250</v>
      </c>
      <c r="L587" s="4">
        <v>4</v>
      </c>
      <c r="M587" s="4" t="s">
        <v>33</v>
      </c>
      <c r="N587" s="28">
        <f ca="1" t="shared" si="1"/>
        <v>0.296265290854146</v>
      </c>
      <c r="O587" s="4" t="s">
        <v>42</v>
      </c>
      <c r="P587" s="4">
        <v>1000</v>
      </c>
      <c r="Q587" s="4">
        <v>694</v>
      </c>
      <c r="R587" s="4">
        <v>70</v>
      </c>
    </row>
    <row r="588" spans="1:18">
      <c r="A588" s="4" t="s">
        <v>1278</v>
      </c>
      <c r="B588" s="4" t="s">
        <v>1270</v>
      </c>
      <c r="C588" s="4" t="s">
        <v>114</v>
      </c>
      <c r="D588" s="27">
        <v>45239</v>
      </c>
      <c r="E588" s="4" t="s">
        <v>20</v>
      </c>
      <c r="F588" s="4" t="s">
        <v>21</v>
      </c>
      <c r="G588" s="4" t="s">
        <v>1279</v>
      </c>
      <c r="H588" s="4" t="s">
        <v>23</v>
      </c>
      <c r="I588" s="4">
        <v>1</v>
      </c>
      <c r="J588" s="4" t="s">
        <v>124</v>
      </c>
      <c r="K588" s="4">
        <v>130</v>
      </c>
      <c r="L588" s="4">
        <v>6</v>
      </c>
      <c r="M588" s="4" t="s">
        <v>33</v>
      </c>
      <c r="N588" s="28">
        <f ca="1" t="shared" si="1"/>
        <v>0.899513789731532</v>
      </c>
      <c r="O588" s="4" t="s">
        <v>47</v>
      </c>
      <c r="P588" s="4">
        <v>780</v>
      </c>
      <c r="Q588" s="4">
        <v>233</v>
      </c>
      <c r="R588" s="4">
        <v>47</v>
      </c>
    </row>
    <row r="589" spans="1:18">
      <c r="A589" s="4" t="s">
        <v>1280</v>
      </c>
      <c r="B589" s="4" t="s">
        <v>1272</v>
      </c>
      <c r="C589" s="4" t="s">
        <v>118</v>
      </c>
      <c r="D589" s="27">
        <v>45235</v>
      </c>
      <c r="E589" s="4" t="s">
        <v>29</v>
      </c>
      <c r="F589" s="4" t="s">
        <v>21</v>
      </c>
      <c r="G589" s="4" t="s">
        <v>1281</v>
      </c>
      <c r="H589" s="4" t="s">
        <v>31</v>
      </c>
      <c r="I589" s="4">
        <v>10</v>
      </c>
      <c r="J589" s="4" t="s">
        <v>128</v>
      </c>
      <c r="K589" s="4">
        <v>72</v>
      </c>
      <c r="L589" s="4">
        <v>4</v>
      </c>
      <c r="M589" s="4" t="s">
        <v>33</v>
      </c>
      <c r="N589" s="28">
        <f ca="1" t="shared" si="1"/>
        <v>0.412048091244831</v>
      </c>
      <c r="O589" s="4" t="s">
        <v>26</v>
      </c>
      <c r="P589" s="4">
        <v>288</v>
      </c>
      <c r="Q589" s="4">
        <v>87</v>
      </c>
      <c r="R589" s="4">
        <v>40</v>
      </c>
    </row>
    <row r="590" spans="1:18">
      <c r="A590" s="4" t="s">
        <v>1282</v>
      </c>
      <c r="B590" s="4" t="s">
        <v>1274</v>
      </c>
      <c r="C590" s="4" t="s">
        <v>122</v>
      </c>
      <c r="D590" s="27">
        <v>45259</v>
      </c>
      <c r="E590" s="4" t="s">
        <v>37</v>
      </c>
      <c r="F590" s="4" t="s">
        <v>38</v>
      </c>
      <c r="G590" s="4" t="s">
        <v>1283</v>
      </c>
      <c r="H590" s="4" t="s">
        <v>40</v>
      </c>
      <c r="I590" s="4">
        <v>4</v>
      </c>
      <c r="J590" s="4" t="s">
        <v>63</v>
      </c>
      <c r="K590" s="4">
        <v>65</v>
      </c>
      <c r="L590" s="4">
        <v>9</v>
      </c>
      <c r="M590" s="4" t="s">
        <v>33</v>
      </c>
      <c r="N590" s="28">
        <f ca="1" t="shared" si="1"/>
        <v>0.684096864319168</v>
      </c>
      <c r="O590" s="4" t="s">
        <v>34</v>
      </c>
      <c r="P590" s="4">
        <v>585</v>
      </c>
      <c r="Q590" s="4">
        <v>504</v>
      </c>
      <c r="R590" s="4">
        <v>27</v>
      </c>
    </row>
    <row r="591" spans="1:18">
      <c r="A591" s="4" t="s">
        <v>1284</v>
      </c>
      <c r="B591" s="4" t="s">
        <v>1276</v>
      </c>
      <c r="C591" s="4" t="s">
        <v>126</v>
      </c>
      <c r="D591" s="27">
        <v>45240</v>
      </c>
      <c r="E591" s="4" t="s">
        <v>20</v>
      </c>
      <c r="F591" s="4" t="s">
        <v>21</v>
      </c>
      <c r="G591" s="4" t="s">
        <v>1285</v>
      </c>
      <c r="H591" s="4" t="s">
        <v>23</v>
      </c>
      <c r="I591" s="4">
        <v>7</v>
      </c>
      <c r="J591" s="4" t="s">
        <v>67</v>
      </c>
      <c r="K591" s="4">
        <v>250</v>
      </c>
      <c r="L591" s="4">
        <v>1</v>
      </c>
      <c r="M591" s="4" t="s">
        <v>33</v>
      </c>
      <c r="N591" s="28">
        <f ca="1" t="shared" si="1"/>
        <v>0.0167975978888175</v>
      </c>
      <c r="O591" s="4" t="s">
        <v>42</v>
      </c>
      <c r="P591" s="4">
        <v>250</v>
      </c>
      <c r="Q591" s="4">
        <v>93</v>
      </c>
      <c r="R591" s="4">
        <v>83</v>
      </c>
    </row>
    <row r="592" spans="1:18">
      <c r="A592" s="4" t="s">
        <v>1286</v>
      </c>
      <c r="B592" s="4" t="s">
        <v>1278</v>
      </c>
      <c r="C592" s="4" t="s">
        <v>130</v>
      </c>
      <c r="D592" s="27">
        <v>45237</v>
      </c>
      <c r="E592" s="4" t="s">
        <v>29</v>
      </c>
      <c r="F592" s="4" t="s">
        <v>21</v>
      </c>
      <c r="G592" s="4" t="s">
        <v>1287</v>
      </c>
      <c r="H592" s="4" t="s">
        <v>31</v>
      </c>
      <c r="I592" s="4">
        <v>3</v>
      </c>
      <c r="J592" s="4" t="s">
        <v>71</v>
      </c>
      <c r="K592" s="4">
        <v>130</v>
      </c>
      <c r="L592" s="4">
        <v>3</v>
      </c>
      <c r="M592" s="4" t="s">
        <v>33</v>
      </c>
      <c r="N592" s="28">
        <f ca="1" t="shared" si="1"/>
        <v>0.229111612555467</v>
      </c>
      <c r="O592" s="4" t="s">
        <v>47</v>
      </c>
      <c r="P592" s="4">
        <v>390</v>
      </c>
      <c r="Q592" s="4">
        <v>134</v>
      </c>
      <c r="R592" s="4">
        <v>60</v>
      </c>
    </row>
    <row r="593" spans="1:18">
      <c r="A593" s="4" t="s">
        <v>1288</v>
      </c>
      <c r="B593" s="4" t="s">
        <v>1280</v>
      </c>
      <c r="C593" s="4" t="s">
        <v>134</v>
      </c>
      <c r="D593" s="27">
        <v>45244</v>
      </c>
      <c r="E593" s="4" t="s">
        <v>29</v>
      </c>
      <c r="F593" s="4" t="s">
        <v>21</v>
      </c>
      <c r="G593" s="4" t="s">
        <v>1289</v>
      </c>
      <c r="H593" s="4" t="s">
        <v>40</v>
      </c>
      <c r="I593" s="4">
        <v>6</v>
      </c>
      <c r="J593" s="4" t="s">
        <v>132</v>
      </c>
      <c r="K593" s="4">
        <v>72</v>
      </c>
      <c r="L593" s="4">
        <v>6</v>
      </c>
      <c r="M593" s="4" t="s">
        <v>25</v>
      </c>
      <c r="N593" s="28">
        <f ca="1" t="shared" si="1"/>
        <v>0.00527410485912183</v>
      </c>
      <c r="O593" s="4" t="s">
        <v>26</v>
      </c>
      <c r="P593" s="4">
        <v>432</v>
      </c>
      <c r="Q593" s="4">
        <v>299</v>
      </c>
      <c r="R593" s="4">
        <v>37</v>
      </c>
    </row>
    <row r="594" spans="1:18">
      <c r="A594" s="4" t="s">
        <v>1290</v>
      </c>
      <c r="B594" s="4" t="s">
        <v>1282</v>
      </c>
      <c r="C594" s="4" t="s">
        <v>139</v>
      </c>
      <c r="D594" s="27">
        <v>45239</v>
      </c>
      <c r="E594" s="4" t="s">
        <v>20</v>
      </c>
      <c r="F594" s="4" t="s">
        <v>21</v>
      </c>
      <c r="G594" s="4" t="s">
        <v>1291</v>
      </c>
      <c r="H594" s="4" t="s">
        <v>23</v>
      </c>
      <c r="I594" s="4">
        <v>6</v>
      </c>
      <c r="J594" s="4" t="s">
        <v>136</v>
      </c>
      <c r="K594" s="4">
        <v>65</v>
      </c>
      <c r="L594" s="4">
        <v>13</v>
      </c>
      <c r="M594" s="4" t="s">
        <v>33</v>
      </c>
      <c r="N594" s="28">
        <f ca="1" t="shared" si="1"/>
        <v>0.383379488676394</v>
      </c>
      <c r="O594" s="4" t="s">
        <v>34</v>
      </c>
      <c r="P594" s="4">
        <v>845</v>
      </c>
      <c r="Q594" s="4">
        <v>445</v>
      </c>
      <c r="R594" s="4">
        <v>31</v>
      </c>
    </row>
    <row r="595" spans="1:18">
      <c r="A595" s="4" t="s">
        <v>1292</v>
      </c>
      <c r="B595" s="4" t="s">
        <v>1284</v>
      </c>
      <c r="C595" s="4" t="s">
        <v>143</v>
      </c>
      <c r="D595" s="27">
        <v>45248</v>
      </c>
      <c r="E595" s="4" t="s">
        <v>29</v>
      </c>
      <c r="F595" s="4" t="s">
        <v>21</v>
      </c>
      <c r="G595" s="4" t="s">
        <v>1293</v>
      </c>
      <c r="H595" s="4" t="s">
        <v>31</v>
      </c>
      <c r="I595" s="4">
        <v>5</v>
      </c>
      <c r="J595" s="4" t="s">
        <v>141</v>
      </c>
      <c r="K595" s="4">
        <v>250</v>
      </c>
      <c r="L595" s="4">
        <v>1</v>
      </c>
      <c r="M595" s="4" t="s">
        <v>25</v>
      </c>
      <c r="N595" s="28">
        <f ca="1" t="shared" si="1"/>
        <v>0.599331889254625</v>
      </c>
      <c r="O595" s="4" t="s">
        <v>42</v>
      </c>
      <c r="P595" s="4">
        <v>250</v>
      </c>
      <c r="Q595" s="4">
        <v>180</v>
      </c>
      <c r="R595" s="4">
        <v>95</v>
      </c>
    </row>
    <row r="596" spans="1:18">
      <c r="A596" s="4" t="s">
        <v>1294</v>
      </c>
      <c r="B596" s="4" t="s">
        <v>1286</v>
      </c>
      <c r="C596" s="4" t="s">
        <v>146</v>
      </c>
      <c r="D596" s="27">
        <v>45235</v>
      </c>
      <c r="E596" s="4" t="s">
        <v>20</v>
      </c>
      <c r="F596" s="4" t="s">
        <v>38</v>
      </c>
      <c r="G596" s="4" t="s">
        <v>1295</v>
      </c>
      <c r="H596" s="4" t="s">
        <v>40</v>
      </c>
      <c r="I596" s="4">
        <v>1</v>
      </c>
      <c r="J596" s="4" t="s">
        <v>24</v>
      </c>
      <c r="K596" s="4">
        <v>130</v>
      </c>
      <c r="L596" s="4">
        <v>3</v>
      </c>
      <c r="M596" s="4" t="s">
        <v>33</v>
      </c>
      <c r="N596" s="28">
        <f ca="1" t="shared" si="1"/>
        <v>0.361818295871119</v>
      </c>
      <c r="O596" s="4" t="s">
        <v>47</v>
      </c>
      <c r="P596" s="4">
        <v>390</v>
      </c>
      <c r="Q596" s="4">
        <v>123</v>
      </c>
      <c r="R596" s="4">
        <v>56</v>
      </c>
    </row>
    <row r="597" spans="1:18">
      <c r="A597" s="4" t="s">
        <v>1296</v>
      </c>
      <c r="B597" s="4" t="s">
        <v>1288</v>
      </c>
      <c r="C597" s="4" t="s">
        <v>149</v>
      </c>
      <c r="D597" s="27">
        <v>45243</v>
      </c>
      <c r="E597" s="4" t="s">
        <v>29</v>
      </c>
      <c r="F597" s="4" t="s">
        <v>21</v>
      </c>
      <c r="G597" s="4" t="s">
        <v>1297</v>
      </c>
      <c r="H597" s="4" t="s">
        <v>23</v>
      </c>
      <c r="I597" s="4">
        <v>9</v>
      </c>
      <c r="J597" s="4" t="s">
        <v>32</v>
      </c>
      <c r="K597" s="4">
        <v>72</v>
      </c>
      <c r="L597" s="4">
        <v>6</v>
      </c>
      <c r="M597" s="4" t="s">
        <v>25</v>
      </c>
      <c r="N597" s="28">
        <f ca="1" t="shared" si="1"/>
        <v>0.894794712140562</v>
      </c>
      <c r="O597" s="4" t="s">
        <v>26</v>
      </c>
      <c r="P597" s="4">
        <v>432</v>
      </c>
      <c r="Q597" s="4">
        <v>224</v>
      </c>
      <c r="R597" s="4">
        <v>41</v>
      </c>
    </row>
    <row r="598" spans="1:18">
      <c r="A598" s="4" t="s">
        <v>1298</v>
      </c>
      <c r="B598" s="4" t="s">
        <v>1290</v>
      </c>
      <c r="C598" s="4" t="s">
        <v>152</v>
      </c>
      <c r="D598" s="27">
        <v>45258</v>
      </c>
      <c r="E598" s="4" t="s">
        <v>29</v>
      </c>
      <c r="F598" s="4" t="s">
        <v>21</v>
      </c>
      <c r="G598" s="4" t="s">
        <v>1299</v>
      </c>
      <c r="H598" s="4" t="s">
        <v>31</v>
      </c>
      <c r="I598" s="4">
        <v>3</v>
      </c>
      <c r="J598" s="4" t="s">
        <v>86</v>
      </c>
      <c r="K598" s="4">
        <v>65</v>
      </c>
      <c r="L598" s="4">
        <v>12</v>
      </c>
      <c r="M598" s="4" t="s">
        <v>33</v>
      </c>
      <c r="N598" s="28">
        <f ca="1" t="shared" si="1"/>
        <v>0.292594207193827</v>
      </c>
      <c r="O598" s="4" t="s">
        <v>34</v>
      </c>
      <c r="P598" s="4">
        <v>780</v>
      </c>
      <c r="Q598" s="4">
        <v>61</v>
      </c>
      <c r="R598" s="4">
        <v>37</v>
      </c>
    </row>
    <row r="599" spans="1:18">
      <c r="A599" s="4" t="s">
        <v>1300</v>
      </c>
      <c r="B599" s="4" t="s">
        <v>1292</v>
      </c>
      <c r="C599" s="4" t="s">
        <v>84</v>
      </c>
      <c r="D599" s="27">
        <v>45258</v>
      </c>
      <c r="E599" s="4" t="s">
        <v>20</v>
      </c>
      <c r="F599" s="4" t="s">
        <v>21</v>
      </c>
      <c r="G599" s="4" t="s">
        <v>1301</v>
      </c>
      <c r="H599" s="4" t="s">
        <v>40</v>
      </c>
      <c r="I599" s="4">
        <v>4</v>
      </c>
      <c r="J599" s="4" t="s">
        <v>89</v>
      </c>
      <c r="K599" s="4">
        <v>250</v>
      </c>
      <c r="L599" s="4">
        <v>3</v>
      </c>
      <c r="M599" s="4" t="s">
        <v>25</v>
      </c>
      <c r="N599" s="28">
        <f ca="1" t="shared" si="1"/>
        <v>0.457602890085038</v>
      </c>
      <c r="O599" s="4" t="s">
        <v>42</v>
      </c>
      <c r="P599" s="4">
        <v>750</v>
      </c>
      <c r="Q599" s="4">
        <v>399</v>
      </c>
      <c r="R599" s="4">
        <v>158</v>
      </c>
    </row>
    <row r="600" spans="1:18">
      <c r="A600" s="4" t="s">
        <v>1302</v>
      </c>
      <c r="B600" s="4" t="s">
        <v>1294</v>
      </c>
      <c r="C600" s="4" t="s">
        <v>118</v>
      </c>
      <c r="D600" s="27">
        <v>45242</v>
      </c>
      <c r="E600" s="4" t="s">
        <v>29</v>
      </c>
      <c r="F600" s="4" t="s">
        <v>21</v>
      </c>
      <c r="G600" s="4" t="s">
        <v>1303</v>
      </c>
      <c r="H600" s="4" t="s">
        <v>23</v>
      </c>
      <c r="I600" s="4">
        <v>8</v>
      </c>
      <c r="J600" s="4" t="s">
        <v>93</v>
      </c>
      <c r="K600" s="4">
        <v>130</v>
      </c>
      <c r="L600" s="4">
        <v>4</v>
      </c>
      <c r="M600" s="4" t="s">
        <v>33</v>
      </c>
      <c r="N600" s="28">
        <f ca="1" t="shared" si="1"/>
        <v>0.606195843074138</v>
      </c>
      <c r="O600" s="4" t="s">
        <v>47</v>
      </c>
      <c r="P600" s="4">
        <v>520</v>
      </c>
      <c r="Q600" s="4">
        <v>406</v>
      </c>
      <c r="R600" s="4">
        <v>83</v>
      </c>
    </row>
    <row r="601" spans="1:18">
      <c r="A601" s="4" t="s">
        <v>1304</v>
      </c>
      <c r="B601" s="4" t="s">
        <v>1296</v>
      </c>
      <c r="C601" s="4" t="s">
        <v>139</v>
      </c>
      <c r="D601" s="27">
        <v>45239</v>
      </c>
      <c r="E601" s="4" t="s">
        <v>29</v>
      </c>
      <c r="F601" s="4" t="s">
        <v>21</v>
      </c>
      <c r="G601" s="4" t="s">
        <v>1305</v>
      </c>
      <c r="H601" s="4" t="s">
        <v>23</v>
      </c>
      <c r="I601" s="4">
        <v>6</v>
      </c>
      <c r="J601" s="4" t="s">
        <v>96</v>
      </c>
      <c r="K601" s="4">
        <v>60</v>
      </c>
      <c r="L601" s="4">
        <v>11</v>
      </c>
      <c r="M601" s="4" t="s">
        <v>25</v>
      </c>
      <c r="N601" s="28">
        <f ca="1" t="shared" si="1"/>
        <v>0.360374158335099</v>
      </c>
      <c r="O601" s="4" t="s">
        <v>68</v>
      </c>
      <c r="P601" s="4">
        <v>660</v>
      </c>
      <c r="Q601" s="4">
        <v>398</v>
      </c>
      <c r="R601" s="4">
        <v>28</v>
      </c>
    </row>
    <row r="602" spans="1:18">
      <c r="A602" s="4" t="s">
        <v>1306</v>
      </c>
      <c r="B602" s="4" t="s">
        <v>1298</v>
      </c>
      <c r="C602" s="4" t="s">
        <v>49</v>
      </c>
      <c r="D602" s="27">
        <v>45248</v>
      </c>
      <c r="E602" s="4" t="s">
        <v>20</v>
      </c>
      <c r="F602" s="4" t="s">
        <v>21</v>
      </c>
      <c r="G602" s="4" t="s">
        <v>1307</v>
      </c>
      <c r="H602" s="4" t="s">
        <v>23</v>
      </c>
      <c r="I602" s="4">
        <v>10</v>
      </c>
      <c r="J602" s="4" t="s">
        <v>58</v>
      </c>
      <c r="K602" s="4">
        <v>72</v>
      </c>
      <c r="L602" s="4">
        <v>3</v>
      </c>
      <c r="M602" s="4" t="s">
        <v>33</v>
      </c>
      <c r="N602" s="28">
        <f ca="1" t="shared" si="1"/>
        <v>0.940952178809858</v>
      </c>
      <c r="O602" s="4" t="s">
        <v>26</v>
      </c>
      <c r="P602" s="4">
        <v>216</v>
      </c>
      <c r="Q602" s="4">
        <v>60</v>
      </c>
      <c r="R602" s="4">
        <v>26</v>
      </c>
    </row>
    <row r="603" spans="1:18">
      <c r="A603" s="4" t="s">
        <v>1308</v>
      </c>
      <c r="B603" s="4" t="s">
        <v>1300</v>
      </c>
      <c r="C603" s="4" t="s">
        <v>91</v>
      </c>
      <c r="D603" s="27">
        <v>45257</v>
      </c>
      <c r="E603" s="4" t="s">
        <v>29</v>
      </c>
      <c r="F603" s="4" t="s">
        <v>21</v>
      </c>
      <c r="G603" s="4" t="s">
        <v>1309</v>
      </c>
      <c r="H603" s="4" t="s">
        <v>31</v>
      </c>
      <c r="I603" s="4">
        <v>9</v>
      </c>
      <c r="J603" s="4" t="s">
        <v>63</v>
      </c>
      <c r="K603" s="4">
        <v>65</v>
      </c>
      <c r="L603" s="4">
        <v>8</v>
      </c>
      <c r="M603" s="4" t="s">
        <v>25</v>
      </c>
      <c r="N603" s="28">
        <f ca="1" t="shared" si="1"/>
        <v>0.269363695123241</v>
      </c>
      <c r="O603" s="4" t="s">
        <v>34</v>
      </c>
      <c r="P603" s="4">
        <v>520</v>
      </c>
      <c r="Q603" s="4">
        <v>101</v>
      </c>
      <c r="R603" s="4">
        <v>22</v>
      </c>
    </row>
    <row r="604" spans="1:18">
      <c r="A604" s="4" t="s">
        <v>1310</v>
      </c>
      <c r="B604" s="4" t="s">
        <v>1302</v>
      </c>
      <c r="C604" s="4" t="s">
        <v>146</v>
      </c>
      <c r="D604" s="27">
        <v>45253</v>
      </c>
      <c r="E604" s="4" t="s">
        <v>20</v>
      </c>
      <c r="F604" s="4" t="s">
        <v>21</v>
      </c>
      <c r="G604" s="4" t="s">
        <v>1311</v>
      </c>
      <c r="H604" s="4" t="s">
        <v>40</v>
      </c>
      <c r="I604" s="4">
        <v>7</v>
      </c>
      <c r="J604" s="4" t="s">
        <v>67</v>
      </c>
      <c r="K604" s="4">
        <v>250</v>
      </c>
      <c r="L604" s="4">
        <v>3</v>
      </c>
      <c r="M604" s="4" t="s">
        <v>33</v>
      </c>
      <c r="N604" s="28">
        <f ca="1" t="shared" si="1"/>
        <v>0.234449852304693</v>
      </c>
      <c r="O604" s="4" t="s">
        <v>42</v>
      </c>
      <c r="P604" s="4">
        <v>750</v>
      </c>
      <c r="Q604" s="4">
        <v>608</v>
      </c>
      <c r="R604" s="4">
        <v>93</v>
      </c>
    </row>
    <row r="605" spans="1:18">
      <c r="A605" s="4" t="s">
        <v>1312</v>
      </c>
      <c r="B605" s="4" t="s">
        <v>1304</v>
      </c>
      <c r="C605" s="4" t="s">
        <v>149</v>
      </c>
      <c r="D605" s="27">
        <v>45250</v>
      </c>
      <c r="E605" s="4" t="s">
        <v>29</v>
      </c>
      <c r="F605" s="4" t="s">
        <v>21</v>
      </c>
      <c r="G605" s="4" t="s">
        <v>1313</v>
      </c>
      <c r="H605" s="4" t="s">
        <v>23</v>
      </c>
      <c r="I605" s="4">
        <v>7</v>
      </c>
      <c r="J605" s="4" t="s">
        <v>103</v>
      </c>
      <c r="K605" s="4">
        <v>130</v>
      </c>
      <c r="L605" s="4">
        <v>2</v>
      </c>
      <c r="M605" s="4" t="s">
        <v>25</v>
      </c>
      <c r="N605" s="28">
        <f ca="1" t="shared" si="1"/>
        <v>0.130747624204302</v>
      </c>
      <c r="O605" s="4" t="s">
        <v>47</v>
      </c>
      <c r="P605" s="4">
        <v>260</v>
      </c>
      <c r="Q605" s="4">
        <v>235</v>
      </c>
      <c r="R605" s="4">
        <v>56</v>
      </c>
    </row>
    <row r="606" spans="1:18">
      <c r="A606" s="4" t="s">
        <v>1314</v>
      </c>
      <c r="B606" s="4" t="s">
        <v>1306</v>
      </c>
      <c r="C606" s="4" t="s">
        <v>171</v>
      </c>
      <c r="D606" s="27">
        <v>45242</v>
      </c>
      <c r="E606" s="4" t="s">
        <v>20</v>
      </c>
      <c r="F606" s="4" t="s">
        <v>21</v>
      </c>
      <c r="G606" s="4" t="s">
        <v>1315</v>
      </c>
      <c r="H606" s="4" t="s">
        <v>31</v>
      </c>
      <c r="I606" s="4">
        <v>7</v>
      </c>
      <c r="J606" s="4" t="s">
        <v>108</v>
      </c>
      <c r="K606" s="4">
        <v>72</v>
      </c>
      <c r="L606" s="4">
        <v>12</v>
      </c>
      <c r="M606" s="4" t="s">
        <v>33</v>
      </c>
      <c r="N606" s="28">
        <f ca="1" t="shared" si="1"/>
        <v>0.0706447090365148</v>
      </c>
      <c r="O606" s="4" t="s">
        <v>26</v>
      </c>
      <c r="P606" s="4">
        <v>864</v>
      </c>
      <c r="Q606" s="4">
        <v>568</v>
      </c>
      <c r="R606" s="4">
        <v>40</v>
      </c>
    </row>
    <row r="607" spans="1:18">
      <c r="A607" s="4" t="s">
        <v>1316</v>
      </c>
      <c r="B607" s="4" t="s">
        <v>1308</v>
      </c>
      <c r="C607" s="4" t="s">
        <v>316</v>
      </c>
      <c r="D607" s="27">
        <v>45235</v>
      </c>
      <c r="E607" s="4" t="s">
        <v>29</v>
      </c>
      <c r="F607" s="4" t="s">
        <v>21</v>
      </c>
      <c r="G607" s="4" t="s">
        <v>1317</v>
      </c>
      <c r="H607" s="4" t="s">
        <v>40</v>
      </c>
      <c r="I607" s="4">
        <v>7</v>
      </c>
      <c r="J607" s="4" t="s">
        <v>112</v>
      </c>
      <c r="K607" s="4">
        <v>65</v>
      </c>
      <c r="L607" s="4">
        <v>13</v>
      </c>
      <c r="M607" s="4" t="s">
        <v>25</v>
      </c>
      <c r="N607" s="28">
        <f ca="1" t="shared" si="1"/>
        <v>0.324768877606965</v>
      </c>
      <c r="O607" s="4" t="s">
        <v>34</v>
      </c>
      <c r="P607" s="4">
        <v>845</v>
      </c>
      <c r="Q607" s="4">
        <v>423</v>
      </c>
      <c r="R607" s="4">
        <v>34</v>
      </c>
    </row>
    <row r="608" spans="1:18">
      <c r="A608" s="4" t="s">
        <v>1318</v>
      </c>
      <c r="B608" s="4" t="s">
        <v>1310</v>
      </c>
      <c r="C608" s="4" t="s">
        <v>176</v>
      </c>
      <c r="D608" s="27">
        <v>45247</v>
      </c>
      <c r="E608" s="4" t="s">
        <v>37</v>
      </c>
      <c r="F608" s="4" t="s">
        <v>21</v>
      </c>
      <c r="G608" s="4" t="s">
        <v>1319</v>
      </c>
      <c r="H608" s="4" t="s">
        <v>23</v>
      </c>
      <c r="I608" s="4">
        <v>8</v>
      </c>
      <c r="J608" s="4" t="s">
        <v>116</v>
      </c>
      <c r="K608" s="4">
        <v>250</v>
      </c>
      <c r="L608" s="4">
        <v>2</v>
      </c>
      <c r="M608" s="4" t="s">
        <v>33</v>
      </c>
      <c r="N608" s="28">
        <f ca="1" t="shared" si="1"/>
        <v>0.729637475935912</v>
      </c>
      <c r="O608" s="4" t="s">
        <v>42</v>
      </c>
      <c r="P608" s="4">
        <v>500</v>
      </c>
      <c r="Q608" s="4">
        <v>343</v>
      </c>
      <c r="R608" s="4">
        <v>130</v>
      </c>
    </row>
    <row r="609" spans="1:18">
      <c r="A609" s="4" t="s">
        <v>1320</v>
      </c>
      <c r="B609" s="4" t="s">
        <v>1312</v>
      </c>
      <c r="C609" s="4" t="s">
        <v>179</v>
      </c>
      <c r="D609" s="27">
        <v>45236</v>
      </c>
      <c r="E609" s="4" t="s">
        <v>20</v>
      </c>
      <c r="F609" s="4" t="s">
        <v>21</v>
      </c>
      <c r="G609" s="4" t="s">
        <v>1321</v>
      </c>
      <c r="H609" s="4" t="s">
        <v>31</v>
      </c>
      <c r="I609" s="4">
        <v>10</v>
      </c>
      <c r="J609" s="4" t="s">
        <v>120</v>
      </c>
      <c r="K609" s="4">
        <v>130</v>
      </c>
      <c r="L609" s="4">
        <v>4</v>
      </c>
      <c r="M609" s="4" t="s">
        <v>25</v>
      </c>
      <c r="N609" s="28">
        <f ca="1" t="shared" si="1"/>
        <v>0.836923130468421</v>
      </c>
      <c r="O609" s="4" t="s">
        <v>47</v>
      </c>
      <c r="P609" s="4">
        <v>520</v>
      </c>
      <c r="Q609" s="4">
        <v>450</v>
      </c>
      <c r="R609" s="4">
        <v>52</v>
      </c>
    </row>
    <row r="610" spans="1:18">
      <c r="A610" s="4" t="s">
        <v>1322</v>
      </c>
      <c r="B610" s="4" t="s">
        <v>1314</v>
      </c>
      <c r="C610" s="4" t="s">
        <v>182</v>
      </c>
      <c r="D610" s="27">
        <v>45231</v>
      </c>
      <c r="E610" s="4" t="s">
        <v>29</v>
      </c>
      <c r="F610" s="4" t="s">
        <v>21</v>
      </c>
      <c r="G610" s="4" t="s">
        <v>1323</v>
      </c>
      <c r="H610" s="4" t="s">
        <v>40</v>
      </c>
      <c r="I610" s="4">
        <v>10</v>
      </c>
      <c r="J610" s="4" t="s">
        <v>124</v>
      </c>
      <c r="K610" s="4">
        <v>60</v>
      </c>
      <c r="L610" s="4">
        <v>4</v>
      </c>
      <c r="M610" s="4" t="s">
        <v>25</v>
      </c>
      <c r="N610" s="28">
        <f ca="1" t="shared" si="1"/>
        <v>0.12773530417385</v>
      </c>
      <c r="O610" s="4" t="s">
        <v>68</v>
      </c>
      <c r="P610" s="4">
        <v>240</v>
      </c>
      <c r="Q610" s="4">
        <v>25</v>
      </c>
      <c r="R610" s="4">
        <v>17</v>
      </c>
    </row>
    <row r="611" spans="1:18">
      <c r="A611" s="4" t="s">
        <v>1324</v>
      </c>
      <c r="B611" s="4" t="s">
        <v>1316</v>
      </c>
      <c r="C611" s="4" t="s">
        <v>185</v>
      </c>
      <c r="D611" s="27">
        <v>45244</v>
      </c>
      <c r="E611" s="4" t="s">
        <v>29</v>
      </c>
      <c r="F611" s="4" t="s">
        <v>21</v>
      </c>
      <c r="G611" s="4" t="s">
        <v>1325</v>
      </c>
      <c r="H611" s="4" t="s">
        <v>23</v>
      </c>
      <c r="I611" s="4">
        <v>10</v>
      </c>
      <c r="J611" s="4" t="s">
        <v>128</v>
      </c>
      <c r="K611" s="4">
        <v>95</v>
      </c>
      <c r="L611" s="4">
        <v>8</v>
      </c>
      <c r="M611" s="4" t="s">
        <v>33</v>
      </c>
      <c r="N611" s="28">
        <f ca="1" t="shared" si="1"/>
        <v>0.418291882885713</v>
      </c>
      <c r="O611" s="4" t="s">
        <v>104</v>
      </c>
      <c r="P611" s="4">
        <v>760</v>
      </c>
      <c r="Q611" s="4">
        <v>22</v>
      </c>
      <c r="R611" s="4">
        <v>42</v>
      </c>
    </row>
    <row r="612" spans="1:18">
      <c r="A612" s="4" t="s">
        <v>1326</v>
      </c>
      <c r="B612" s="4" t="s">
        <v>1318</v>
      </c>
      <c r="C612" s="4" t="s">
        <v>188</v>
      </c>
      <c r="D612" s="27">
        <v>45247</v>
      </c>
      <c r="E612" s="4" t="s">
        <v>20</v>
      </c>
      <c r="F612" s="4" t="s">
        <v>21</v>
      </c>
      <c r="G612" s="4" t="s">
        <v>1327</v>
      </c>
      <c r="H612" s="4" t="s">
        <v>31</v>
      </c>
      <c r="I612" s="4">
        <v>10</v>
      </c>
      <c r="J612" s="4" t="s">
        <v>63</v>
      </c>
      <c r="K612" s="4">
        <v>72</v>
      </c>
      <c r="L612" s="4">
        <v>10</v>
      </c>
      <c r="M612" s="4" t="s">
        <v>33</v>
      </c>
      <c r="N612" s="28">
        <f ca="1" t="shared" si="1"/>
        <v>0.139278537255034</v>
      </c>
      <c r="O612" s="4" t="s">
        <v>26</v>
      </c>
      <c r="P612" s="4">
        <v>720</v>
      </c>
      <c r="Q612" s="4">
        <v>491</v>
      </c>
      <c r="R612" s="4">
        <v>42</v>
      </c>
    </row>
    <row r="613" spans="1:18">
      <c r="A613" s="4" t="s">
        <v>1328</v>
      </c>
      <c r="B613" s="4" t="s">
        <v>1320</v>
      </c>
      <c r="C613" s="4" t="s">
        <v>191</v>
      </c>
      <c r="D613" s="27">
        <v>45260</v>
      </c>
      <c r="E613" s="4" t="s">
        <v>29</v>
      </c>
      <c r="F613" s="4" t="s">
        <v>21</v>
      </c>
      <c r="G613" s="4" t="s">
        <v>1329</v>
      </c>
      <c r="H613" s="4" t="s">
        <v>40</v>
      </c>
      <c r="I613" s="4">
        <v>8</v>
      </c>
      <c r="J613" s="4" t="s">
        <v>67</v>
      </c>
      <c r="K613" s="4">
        <v>65</v>
      </c>
      <c r="L613" s="4">
        <v>7</v>
      </c>
      <c r="M613" s="4" t="s">
        <v>33</v>
      </c>
      <c r="N613" s="28">
        <f ca="1" t="shared" si="1"/>
        <v>0.264837194568249</v>
      </c>
      <c r="O613" s="4" t="s">
        <v>34</v>
      </c>
      <c r="P613" s="4">
        <v>455</v>
      </c>
      <c r="Q613" s="4">
        <v>338</v>
      </c>
      <c r="R613" s="4">
        <v>26</v>
      </c>
    </row>
    <row r="614" spans="1:18">
      <c r="A614" s="4" t="s">
        <v>1330</v>
      </c>
      <c r="B614" s="4" t="s">
        <v>1322</v>
      </c>
      <c r="C614" s="4" t="s">
        <v>114</v>
      </c>
      <c r="D614" s="27">
        <v>45245</v>
      </c>
      <c r="E614" s="4" t="s">
        <v>20</v>
      </c>
      <c r="F614" s="4" t="s">
        <v>21</v>
      </c>
      <c r="G614" s="4" t="s">
        <v>1331</v>
      </c>
      <c r="H614" s="4" t="s">
        <v>23</v>
      </c>
      <c r="I614" s="4">
        <v>7</v>
      </c>
      <c r="J614" s="4" t="s">
        <v>71</v>
      </c>
      <c r="K614" s="4">
        <v>250</v>
      </c>
      <c r="L614" s="4">
        <v>3</v>
      </c>
      <c r="M614" s="4" t="s">
        <v>25</v>
      </c>
      <c r="N614" s="28">
        <f ca="1" t="shared" si="1"/>
        <v>0.330642169647725</v>
      </c>
      <c r="O614" s="4" t="s">
        <v>42</v>
      </c>
      <c r="P614" s="4">
        <v>750</v>
      </c>
      <c r="Q614" s="4">
        <v>497</v>
      </c>
      <c r="R614" s="4">
        <v>158</v>
      </c>
    </row>
    <row r="615" spans="1:18">
      <c r="A615" s="4" t="s">
        <v>1332</v>
      </c>
      <c r="B615" s="4" t="s">
        <v>1324</v>
      </c>
      <c r="C615" s="4" t="s">
        <v>118</v>
      </c>
      <c r="D615" s="27">
        <v>45232</v>
      </c>
      <c r="E615" s="4" t="s">
        <v>29</v>
      </c>
      <c r="F615" s="4" t="s">
        <v>21</v>
      </c>
      <c r="G615" s="4" t="s">
        <v>1333</v>
      </c>
      <c r="H615" s="4" t="s">
        <v>31</v>
      </c>
      <c r="I615" s="4">
        <v>7</v>
      </c>
      <c r="J615" s="4" t="s">
        <v>132</v>
      </c>
      <c r="K615" s="4">
        <v>130</v>
      </c>
      <c r="L615" s="4">
        <v>6</v>
      </c>
      <c r="M615" s="4" t="s">
        <v>25</v>
      </c>
      <c r="N615" s="28">
        <f ca="1" t="shared" si="1"/>
        <v>0.842472642641666</v>
      </c>
      <c r="O615" s="4" t="s">
        <v>47</v>
      </c>
      <c r="P615" s="4">
        <v>780</v>
      </c>
      <c r="Q615" s="4">
        <v>620</v>
      </c>
      <c r="R615" s="4">
        <v>73</v>
      </c>
    </row>
    <row r="616" spans="1:18">
      <c r="A616" s="4" t="s">
        <v>1334</v>
      </c>
      <c r="B616" s="4" t="s">
        <v>1326</v>
      </c>
      <c r="C616" s="4" t="s">
        <v>122</v>
      </c>
      <c r="D616" s="27">
        <v>45256</v>
      </c>
      <c r="E616" s="4" t="s">
        <v>29</v>
      </c>
      <c r="F616" s="4" t="s">
        <v>21</v>
      </c>
      <c r="G616" s="4" t="s">
        <v>1335</v>
      </c>
      <c r="H616" s="4" t="s">
        <v>40</v>
      </c>
      <c r="I616" s="4">
        <v>9</v>
      </c>
      <c r="J616" s="4" t="s">
        <v>136</v>
      </c>
      <c r="K616" s="4">
        <v>72</v>
      </c>
      <c r="L616" s="4">
        <v>7</v>
      </c>
      <c r="M616" s="4" t="s">
        <v>25</v>
      </c>
      <c r="N616" s="28">
        <f ca="1" t="shared" si="1"/>
        <v>0.0888891849963251</v>
      </c>
      <c r="O616" s="4" t="s">
        <v>26</v>
      </c>
      <c r="P616" s="4">
        <v>504</v>
      </c>
      <c r="Q616" s="4">
        <v>451</v>
      </c>
      <c r="R616" s="4">
        <v>31</v>
      </c>
    </row>
    <row r="617" spans="1:18">
      <c r="A617" s="4" t="s">
        <v>1336</v>
      </c>
      <c r="B617" s="4" t="s">
        <v>1328</v>
      </c>
      <c r="C617" s="4" t="s">
        <v>73</v>
      </c>
      <c r="D617" s="27">
        <v>45254</v>
      </c>
      <c r="E617" s="4" t="s">
        <v>20</v>
      </c>
      <c r="F617" s="4" t="s">
        <v>21</v>
      </c>
      <c r="G617" s="4" t="s">
        <v>1337</v>
      </c>
      <c r="H617" s="4" t="s">
        <v>23</v>
      </c>
      <c r="I617" s="4">
        <v>8</v>
      </c>
      <c r="J617" s="4" t="s">
        <v>141</v>
      </c>
      <c r="K617" s="4">
        <v>65</v>
      </c>
      <c r="L617" s="4">
        <v>3</v>
      </c>
      <c r="M617" s="4" t="s">
        <v>25</v>
      </c>
      <c r="N617" s="28">
        <f ca="1" t="shared" si="1"/>
        <v>0.964154886762942</v>
      </c>
      <c r="O617" s="4" t="s">
        <v>34</v>
      </c>
      <c r="P617" s="4">
        <v>195</v>
      </c>
      <c r="Q617" s="4">
        <v>10</v>
      </c>
      <c r="R617" s="4">
        <v>34</v>
      </c>
    </row>
    <row r="618" spans="1:18">
      <c r="A618" s="4" t="s">
        <v>1338</v>
      </c>
      <c r="B618" s="4" t="s">
        <v>1330</v>
      </c>
      <c r="C618" s="4" t="s">
        <v>130</v>
      </c>
      <c r="D618" s="27">
        <v>45252</v>
      </c>
      <c r="E618" s="4" t="s">
        <v>29</v>
      </c>
      <c r="F618" s="4" t="s">
        <v>38</v>
      </c>
      <c r="G618" s="4" t="s">
        <v>1339</v>
      </c>
      <c r="H618" s="4" t="s">
        <v>31</v>
      </c>
      <c r="I618" s="4">
        <v>8</v>
      </c>
      <c r="J618" s="4" t="s">
        <v>24</v>
      </c>
      <c r="K618" s="4">
        <v>250</v>
      </c>
      <c r="L618" s="4">
        <v>1</v>
      </c>
      <c r="M618" s="4" t="s">
        <v>25</v>
      </c>
      <c r="N618" s="28">
        <f ca="1" t="shared" si="1"/>
        <v>0.151857143774168</v>
      </c>
      <c r="O618" s="4" t="s">
        <v>42</v>
      </c>
      <c r="P618" s="4">
        <v>250</v>
      </c>
      <c r="Q618" s="4">
        <v>76</v>
      </c>
      <c r="R618" s="4">
        <v>110</v>
      </c>
    </row>
    <row r="619" spans="1:18">
      <c r="A619" s="4" t="s">
        <v>1340</v>
      </c>
      <c r="B619" s="4" t="s">
        <v>1332</v>
      </c>
      <c r="C619" s="4" t="s">
        <v>134</v>
      </c>
      <c r="D619" s="27">
        <v>45255</v>
      </c>
      <c r="E619" s="4" t="s">
        <v>29</v>
      </c>
      <c r="F619" s="4" t="s">
        <v>21</v>
      </c>
      <c r="G619" s="4" t="s">
        <v>1341</v>
      </c>
      <c r="H619" s="4" t="s">
        <v>40</v>
      </c>
      <c r="I619" s="4">
        <v>7</v>
      </c>
      <c r="J619" s="4" t="s">
        <v>32</v>
      </c>
      <c r="K619" s="4">
        <v>130</v>
      </c>
      <c r="L619" s="4">
        <v>5</v>
      </c>
      <c r="M619" s="4" t="s">
        <v>25</v>
      </c>
      <c r="N619" s="28">
        <f ca="1" t="shared" si="1"/>
        <v>0.488424696296683</v>
      </c>
      <c r="O619" s="4" t="s">
        <v>47</v>
      </c>
      <c r="P619" s="4">
        <v>650</v>
      </c>
      <c r="Q619" s="4">
        <v>47</v>
      </c>
      <c r="R619" s="4">
        <v>73</v>
      </c>
    </row>
    <row r="620" spans="1:18">
      <c r="A620" s="4" t="s">
        <v>1342</v>
      </c>
      <c r="B620" s="4" t="s">
        <v>1334</v>
      </c>
      <c r="C620" s="4" t="s">
        <v>139</v>
      </c>
      <c r="D620" s="27">
        <v>45253</v>
      </c>
      <c r="E620" s="4" t="s">
        <v>20</v>
      </c>
      <c r="F620" s="4" t="s">
        <v>21</v>
      </c>
      <c r="G620" s="4" t="s">
        <v>1343</v>
      </c>
      <c r="H620" s="4" t="s">
        <v>23</v>
      </c>
      <c r="I620" s="4">
        <v>8</v>
      </c>
      <c r="J620" s="4" t="s">
        <v>86</v>
      </c>
      <c r="K620" s="4">
        <v>60</v>
      </c>
      <c r="L620" s="4">
        <v>7</v>
      </c>
      <c r="M620" s="4" t="s">
        <v>25</v>
      </c>
      <c r="N620" s="28">
        <f ca="1" t="shared" si="1"/>
        <v>0.805569722304159</v>
      </c>
      <c r="O620" s="4" t="s">
        <v>68</v>
      </c>
      <c r="P620" s="4">
        <v>420</v>
      </c>
      <c r="Q620" s="4">
        <v>154</v>
      </c>
      <c r="R620" s="4">
        <v>21</v>
      </c>
    </row>
    <row r="621" spans="1:18">
      <c r="A621" s="4" t="s">
        <v>1344</v>
      </c>
      <c r="B621" s="4" t="s">
        <v>1336</v>
      </c>
      <c r="C621" s="4" t="s">
        <v>143</v>
      </c>
      <c r="D621" s="27">
        <v>45235</v>
      </c>
      <c r="E621" s="4" t="s">
        <v>29</v>
      </c>
      <c r="F621" s="4" t="s">
        <v>21</v>
      </c>
      <c r="G621" s="4" t="s">
        <v>1345</v>
      </c>
      <c r="H621" s="4" t="s">
        <v>31</v>
      </c>
      <c r="I621" s="4">
        <v>8</v>
      </c>
      <c r="J621" s="4" t="s">
        <v>89</v>
      </c>
      <c r="K621" s="4">
        <v>72</v>
      </c>
      <c r="L621" s="4">
        <v>7</v>
      </c>
      <c r="M621" s="4" t="s">
        <v>25</v>
      </c>
      <c r="N621" s="28">
        <f ca="1" t="shared" si="1"/>
        <v>0.905985756549174</v>
      </c>
      <c r="O621" s="4" t="s">
        <v>26</v>
      </c>
      <c r="P621" s="4">
        <v>504</v>
      </c>
      <c r="Q621" s="4">
        <v>345</v>
      </c>
      <c r="R621" s="4">
        <v>30</v>
      </c>
    </row>
    <row r="622" spans="1:18">
      <c r="A622" s="4" t="s">
        <v>1346</v>
      </c>
      <c r="B622" s="4" t="s">
        <v>1338</v>
      </c>
      <c r="C622" s="4" t="s">
        <v>146</v>
      </c>
      <c r="D622" s="27">
        <v>45241</v>
      </c>
      <c r="E622" s="4" t="s">
        <v>20</v>
      </c>
      <c r="F622" s="4" t="s">
        <v>21</v>
      </c>
      <c r="G622" s="4" t="s">
        <v>1347</v>
      </c>
      <c r="H622" s="4" t="s">
        <v>40</v>
      </c>
      <c r="I622" s="4">
        <v>9</v>
      </c>
      <c r="J622" s="4" t="s">
        <v>93</v>
      </c>
      <c r="K622" s="4">
        <v>65</v>
      </c>
      <c r="L622" s="4">
        <v>11</v>
      </c>
      <c r="M622" s="4" t="s">
        <v>25</v>
      </c>
      <c r="N622" s="28">
        <f ca="1" t="shared" si="1"/>
        <v>0.746325537281813</v>
      </c>
      <c r="O622" s="4" t="s">
        <v>34</v>
      </c>
      <c r="P622" s="4">
        <v>715</v>
      </c>
      <c r="Q622" s="4">
        <v>667</v>
      </c>
      <c r="R622" s="4">
        <v>32</v>
      </c>
    </row>
    <row r="623" spans="1:18">
      <c r="A623" s="4" t="s">
        <v>1348</v>
      </c>
      <c r="B623" s="4" t="s">
        <v>1340</v>
      </c>
      <c r="C623" s="4" t="s">
        <v>149</v>
      </c>
      <c r="D623" s="27">
        <v>45237</v>
      </c>
      <c r="E623" s="4" t="s">
        <v>29</v>
      </c>
      <c r="F623" s="4" t="s">
        <v>21</v>
      </c>
      <c r="G623" s="4" t="s">
        <v>1349</v>
      </c>
      <c r="H623" s="4" t="s">
        <v>23</v>
      </c>
      <c r="I623" s="4">
        <v>9</v>
      </c>
      <c r="J623" s="4" t="s">
        <v>96</v>
      </c>
      <c r="K623" s="4">
        <v>250</v>
      </c>
      <c r="L623" s="4">
        <v>1</v>
      </c>
      <c r="M623" s="4" t="s">
        <v>33</v>
      </c>
      <c r="N623" s="28">
        <f ca="1" t="shared" si="1"/>
        <v>0.993048594265273</v>
      </c>
      <c r="O623" s="4" t="s">
        <v>42</v>
      </c>
      <c r="P623" s="4">
        <v>250</v>
      </c>
      <c r="Q623" s="4">
        <v>47</v>
      </c>
      <c r="R623" s="4">
        <v>160</v>
      </c>
    </row>
    <row r="624" spans="1:18">
      <c r="A624" s="4" t="s">
        <v>1350</v>
      </c>
      <c r="B624" s="4" t="s">
        <v>1342</v>
      </c>
      <c r="C624" s="4" t="s">
        <v>203</v>
      </c>
      <c r="D624" s="27">
        <v>45240</v>
      </c>
      <c r="E624" s="4" t="s">
        <v>20</v>
      </c>
      <c r="F624" s="4" t="s">
        <v>38</v>
      </c>
      <c r="G624" s="4" t="s">
        <v>1351</v>
      </c>
      <c r="H624" s="4" t="s">
        <v>31</v>
      </c>
      <c r="I624" s="4">
        <v>8</v>
      </c>
      <c r="J624" s="4" t="s">
        <v>58</v>
      </c>
      <c r="K624" s="4">
        <v>130</v>
      </c>
      <c r="L624" s="4">
        <v>5</v>
      </c>
      <c r="M624" s="4" t="s">
        <v>25</v>
      </c>
      <c r="N624" s="28">
        <f ca="1" t="shared" si="1"/>
        <v>0.108802860348821</v>
      </c>
      <c r="O624" s="4" t="s">
        <v>47</v>
      </c>
      <c r="P624" s="4">
        <v>650</v>
      </c>
      <c r="Q624" s="4">
        <v>295</v>
      </c>
      <c r="R624" s="4">
        <v>49</v>
      </c>
    </row>
    <row r="625" spans="1:18">
      <c r="A625" s="4" t="s">
        <v>1352</v>
      </c>
      <c r="B625" s="4" t="s">
        <v>1344</v>
      </c>
      <c r="C625" s="4" t="s">
        <v>28</v>
      </c>
      <c r="D625" s="27">
        <v>45248</v>
      </c>
      <c r="E625" s="4" t="s">
        <v>29</v>
      </c>
      <c r="F625" s="4" t="s">
        <v>21</v>
      </c>
      <c r="G625" s="4" t="s">
        <v>1353</v>
      </c>
      <c r="H625" s="4" t="s">
        <v>40</v>
      </c>
      <c r="I625" s="4">
        <v>8</v>
      </c>
      <c r="J625" s="4" t="s">
        <v>63</v>
      </c>
      <c r="K625" s="4">
        <v>72</v>
      </c>
      <c r="L625" s="4">
        <v>11</v>
      </c>
      <c r="M625" s="4" t="s">
        <v>25</v>
      </c>
      <c r="N625" s="28">
        <f ca="1" t="shared" si="1"/>
        <v>0.588196754085507</v>
      </c>
      <c r="O625" s="4" t="s">
        <v>26</v>
      </c>
      <c r="P625" s="4">
        <v>792</v>
      </c>
      <c r="Q625" s="4">
        <v>12</v>
      </c>
      <c r="R625" s="4">
        <v>43</v>
      </c>
    </row>
    <row r="626" spans="1:18">
      <c r="A626" s="4" t="s">
        <v>1354</v>
      </c>
      <c r="B626" s="4" t="s">
        <v>1346</v>
      </c>
      <c r="C626" s="4" t="s">
        <v>36</v>
      </c>
      <c r="D626" s="27">
        <v>45257</v>
      </c>
      <c r="E626" s="4" t="s">
        <v>37</v>
      </c>
      <c r="F626" s="4" t="s">
        <v>21</v>
      </c>
      <c r="G626" s="4" t="s">
        <v>1355</v>
      </c>
      <c r="H626" s="4" t="s">
        <v>23</v>
      </c>
      <c r="I626" s="4">
        <v>7</v>
      </c>
      <c r="J626" s="4" t="s">
        <v>67</v>
      </c>
      <c r="K626" s="4">
        <v>65</v>
      </c>
      <c r="L626" s="4">
        <v>7</v>
      </c>
      <c r="M626" s="4" t="s">
        <v>25</v>
      </c>
      <c r="N626" s="28">
        <f ca="1" t="shared" si="1"/>
        <v>0.923542526049979</v>
      </c>
      <c r="O626" s="4" t="s">
        <v>34</v>
      </c>
      <c r="P626" s="4">
        <v>455</v>
      </c>
      <c r="Q626" s="4">
        <v>250</v>
      </c>
      <c r="R626" s="4">
        <v>21</v>
      </c>
    </row>
    <row r="627" spans="1:18">
      <c r="A627" s="4" t="s">
        <v>1356</v>
      </c>
      <c r="B627" s="4" t="s">
        <v>1348</v>
      </c>
      <c r="C627" s="4" t="s">
        <v>44</v>
      </c>
      <c r="D627" s="27">
        <v>45258</v>
      </c>
      <c r="E627" s="4" t="s">
        <v>20</v>
      </c>
      <c r="F627" s="4" t="s">
        <v>21</v>
      </c>
      <c r="G627" s="4" t="s">
        <v>1357</v>
      </c>
      <c r="H627" s="4" t="s">
        <v>31</v>
      </c>
      <c r="I627" s="4">
        <v>8</v>
      </c>
      <c r="J627" s="4" t="s">
        <v>103</v>
      </c>
      <c r="K627" s="4">
        <v>250</v>
      </c>
      <c r="L627" s="4">
        <v>2</v>
      </c>
      <c r="M627" s="4" t="s">
        <v>25</v>
      </c>
      <c r="N627" s="28">
        <f ca="1" t="shared" si="1"/>
        <v>0.92035745815644</v>
      </c>
      <c r="O627" s="4" t="s">
        <v>42</v>
      </c>
      <c r="P627" s="4">
        <v>500</v>
      </c>
      <c r="Q627" s="4">
        <v>478</v>
      </c>
      <c r="R627" s="4">
        <v>123</v>
      </c>
    </row>
    <row r="628" spans="1:18">
      <c r="A628" s="4" t="s">
        <v>1358</v>
      </c>
      <c r="B628" s="4" t="s">
        <v>1350</v>
      </c>
      <c r="C628" s="4" t="s">
        <v>49</v>
      </c>
      <c r="D628" s="27">
        <v>45232</v>
      </c>
      <c r="E628" s="4" t="s">
        <v>29</v>
      </c>
      <c r="F628" s="4" t="s">
        <v>21</v>
      </c>
      <c r="G628" s="4" t="s">
        <v>1359</v>
      </c>
      <c r="H628" s="4" t="s">
        <v>40</v>
      </c>
      <c r="I628" s="4">
        <v>9</v>
      </c>
      <c r="J628" s="4" t="s">
        <v>108</v>
      </c>
      <c r="K628" s="4">
        <v>130</v>
      </c>
      <c r="L628" s="4">
        <v>3</v>
      </c>
      <c r="M628" s="4" t="s">
        <v>25</v>
      </c>
      <c r="N628" s="28">
        <f ca="1" t="shared" si="1"/>
        <v>0.464695109394736</v>
      </c>
      <c r="O628" s="4" t="s">
        <v>47</v>
      </c>
      <c r="P628" s="4">
        <v>390</v>
      </c>
      <c r="Q628" s="4">
        <v>375</v>
      </c>
      <c r="R628" s="4">
        <v>51</v>
      </c>
    </row>
    <row r="629" spans="1:18">
      <c r="A629" s="4" t="s">
        <v>1360</v>
      </c>
      <c r="B629" s="4" t="s">
        <v>1352</v>
      </c>
      <c r="C629" s="4" t="s">
        <v>53</v>
      </c>
      <c r="D629" s="27">
        <v>45254</v>
      </c>
      <c r="E629" s="4" t="s">
        <v>29</v>
      </c>
      <c r="F629" s="4" t="s">
        <v>21</v>
      </c>
      <c r="G629" s="4" t="s">
        <v>1361</v>
      </c>
      <c r="H629" s="4" t="s">
        <v>23</v>
      </c>
      <c r="I629" s="4">
        <v>7</v>
      </c>
      <c r="J629" s="4" t="s">
        <v>112</v>
      </c>
      <c r="K629" s="4">
        <v>60</v>
      </c>
      <c r="L629" s="4">
        <v>4</v>
      </c>
      <c r="M629" s="4" t="s">
        <v>33</v>
      </c>
      <c r="N629" s="28">
        <f ca="1" t="shared" si="1"/>
        <v>0.569289296093376</v>
      </c>
      <c r="O629" s="4" t="s">
        <v>68</v>
      </c>
      <c r="P629" s="4">
        <v>240</v>
      </c>
      <c r="Q629" s="4">
        <v>65</v>
      </c>
      <c r="R629" s="4">
        <v>27</v>
      </c>
    </row>
    <row r="630" spans="1:18">
      <c r="A630" s="4" t="s">
        <v>1362</v>
      </c>
      <c r="B630" s="4" t="s">
        <v>1354</v>
      </c>
      <c r="C630" s="4" t="s">
        <v>61</v>
      </c>
      <c r="D630" s="27">
        <v>45243</v>
      </c>
      <c r="E630" s="4" t="s">
        <v>20</v>
      </c>
      <c r="F630" s="4" t="s">
        <v>21</v>
      </c>
      <c r="G630" s="4" t="s">
        <v>1363</v>
      </c>
      <c r="H630" s="4" t="s">
        <v>31</v>
      </c>
      <c r="I630" s="4">
        <v>8</v>
      </c>
      <c r="J630" s="4" t="s">
        <v>116</v>
      </c>
      <c r="K630" s="4">
        <v>95</v>
      </c>
      <c r="L630" s="4">
        <v>4</v>
      </c>
      <c r="M630" s="4" t="s">
        <v>25</v>
      </c>
      <c r="N630" s="28">
        <f ca="1" t="shared" ref="N630:N693" si="2" xml:space="preserve">RAND()</f>
        <v>0.908470260031737</v>
      </c>
      <c r="O630" s="4" t="s">
        <v>104</v>
      </c>
      <c r="P630" s="4">
        <v>380</v>
      </c>
      <c r="Q630" s="4">
        <v>122</v>
      </c>
      <c r="R630" s="4">
        <v>46</v>
      </c>
    </row>
    <row r="631" spans="1:18">
      <c r="A631" s="4" t="s">
        <v>1364</v>
      </c>
      <c r="B631" s="4" t="s">
        <v>1356</v>
      </c>
      <c r="C631" s="4" t="s">
        <v>61</v>
      </c>
      <c r="D631" s="27">
        <v>45235</v>
      </c>
      <c r="E631" s="4" t="s">
        <v>29</v>
      </c>
      <c r="F631" s="4" t="s">
        <v>21</v>
      </c>
      <c r="G631" s="4" t="s">
        <v>1365</v>
      </c>
      <c r="H631" s="4" t="s">
        <v>40</v>
      </c>
      <c r="I631" s="4">
        <v>9</v>
      </c>
      <c r="J631" s="4" t="s">
        <v>120</v>
      </c>
      <c r="K631" s="4">
        <v>72</v>
      </c>
      <c r="L631" s="4">
        <v>8</v>
      </c>
      <c r="M631" s="4" t="s">
        <v>25</v>
      </c>
      <c r="N631" s="28">
        <f ca="1" t="shared" si="2"/>
        <v>0.82883481783744</v>
      </c>
      <c r="O631" s="4" t="s">
        <v>26</v>
      </c>
      <c r="P631" s="4">
        <v>576</v>
      </c>
      <c r="Q631" s="4">
        <v>164</v>
      </c>
      <c r="R631" s="4">
        <v>44</v>
      </c>
    </row>
    <row r="632" spans="1:18">
      <c r="A632" s="4" t="s">
        <v>1366</v>
      </c>
      <c r="B632" s="4" t="s">
        <v>1358</v>
      </c>
      <c r="C632" s="4" t="s">
        <v>65</v>
      </c>
      <c r="D632" s="27">
        <v>45232</v>
      </c>
      <c r="E632" s="4" t="s">
        <v>20</v>
      </c>
      <c r="F632" s="4" t="s">
        <v>21</v>
      </c>
      <c r="G632" s="4" t="s">
        <v>1367</v>
      </c>
      <c r="H632" s="4" t="s">
        <v>23</v>
      </c>
      <c r="I632" s="4">
        <v>8</v>
      </c>
      <c r="J632" s="4" t="s">
        <v>124</v>
      </c>
      <c r="K632" s="4">
        <v>65</v>
      </c>
      <c r="L632" s="4">
        <v>12</v>
      </c>
      <c r="M632" s="4" t="s">
        <v>25</v>
      </c>
      <c r="N632" s="28">
        <f ca="1" t="shared" si="2"/>
        <v>0.479999369642435</v>
      </c>
      <c r="O632" s="4" t="s">
        <v>34</v>
      </c>
      <c r="P632" s="4">
        <v>780</v>
      </c>
      <c r="Q632" s="4">
        <v>104</v>
      </c>
      <c r="R632" s="4">
        <v>32</v>
      </c>
    </row>
    <row r="633" spans="1:18">
      <c r="A633" s="4" t="s">
        <v>1368</v>
      </c>
      <c r="B633" s="4" t="s">
        <v>1360</v>
      </c>
      <c r="C633" s="4" t="s">
        <v>53</v>
      </c>
      <c r="D633" s="27">
        <v>45246</v>
      </c>
      <c r="E633" s="4" t="s">
        <v>29</v>
      </c>
      <c r="F633" s="4" t="s">
        <v>21</v>
      </c>
      <c r="G633" s="4" t="s">
        <v>1369</v>
      </c>
      <c r="H633" s="4" t="s">
        <v>31</v>
      </c>
      <c r="I633" s="4">
        <v>7</v>
      </c>
      <c r="J633" s="4" t="s">
        <v>128</v>
      </c>
      <c r="K633" s="4">
        <v>250</v>
      </c>
      <c r="L633" s="4">
        <v>3</v>
      </c>
      <c r="M633" s="4" t="s">
        <v>33</v>
      </c>
      <c r="N633" s="28">
        <f ca="1" t="shared" si="2"/>
        <v>0.702710405025625</v>
      </c>
      <c r="O633" s="4" t="s">
        <v>42</v>
      </c>
      <c r="P633" s="4">
        <v>750</v>
      </c>
      <c r="Q633" s="4">
        <v>418</v>
      </c>
      <c r="R633" s="4">
        <v>125</v>
      </c>
    </row>
    <row r="634" spans="1:18">
      <c r="A634" s="4" t="s">
        <v>1370</v>
      </c>
      <c r="B634" s="4" t="s">
        <v>1362</v>
      </c>
      <c r="C634" s="4" t="s">
        <v>73</v>
      </c>
      <c r="D634" s="27">
        <v>45259</v>
      </c>
      <c r="E634" s="4" t="s">
        <v>29</v>
      </c>
      <c r="F634" s="4" t="s">
        <v>21</v>
      </c>
      <c r="G634" s="4" t="s">
        <v>1371</v>
      </c>
      <c r="H634" s="4" t="s">
        <v>40</v>
      </c>
      <c r="I634" s="4">
        <v>10</v>
      </c>
      <c r="J634" s="4" t="s">
        <v>63</v>
      </c>
      <c r="K634" s="4">
        <v>130</v>
      </c>
      <c r="L634" s="4">
        <v>2</v>
      </c>
      <c r="M634" s="4" t="s">
        <v>33</v>
      </c>
      <c r="N634" s="28">
        <f ca="1" t="shared" si="2"/>
        <v>0.600341416846476</v>
      </c>
      <c r="O634" s="4" t="s">
        <v>47</v>
      </c>
      <c r="P634" s="4">
        <v>260</v>
      </c>
      <c r="Q634" s="4">
        <v>83</v>
      </c>
      <c r="R634" s="4">
        <v>82</v>
      </c>
    </row>
    <row r="635" spans="1:18">
      <c r="A635" s="4" t="s">
        <v>1372</v>
      </c>
      <c r="B635" s="4" t="s">
        <v>1364</v>
      </c>
      <c r="C635" s="4" t="s">
        <v>77</v>
      </c>
      <c r="D635" s="27">
        <v>45241</v>
      </c>
      <c r="E635" s="4" t="s">
        <v>20</v>
      </c>
      <c r="F635" s="4" t="s">
        <v>21</v>
      </c>
      <c r="G635" s="4" t="s">
        <v>1373</v>
      </c>
      <c r="H635" s="4" t="s">
        <v>23</v>
      </c>
      <c r="I635" s="4">
        <v>7</v>
      </c>
      <c r="J635" s="4" t="s">
        <v>67</v>
      </c>
      <c r="K635" s="4">
        <v>72</v>
      </c>
      <c r="L635" s="4">
        <v>10</v>
      </c>
      <c r="M635" s="4" t="s">
        <v>33</v>
      </c>
      <c r="N635" s="28">
        <f ca="1" t="shared" si="2"/>
        <v>0.486365584181323</v>
      </c>
      <c r="O635" s="4" t="s">
        <v>26</v>
      </c>
      <c r="P635" s="4">
        <v>720</v>
      </c>
      <c r="Q635" s="4">
        <v>441</v>
      </c>
      <c r="R635" s="4">
        <v>42</v>
      </c>
    </row>
    <row r="636" spans="1:18">
      <c r="A636" s="4" t="s">
        <v>1374</v>
      </c>
      <c r="B636" s="4" t="s">
        <v>1366</v>
      </c>
      <c r="C636" s="4" t="s">
        <v>229</v>
      </c>
      <c r="D636" s="27">
        <v>45258</v>
      </c>
      <c r="E636" s="4" t="s">
        <v>29</v>
      </c>
      <c r="F636" s="4" t="s">
        <v>21</v>
      </c>
      <c r="G636" s="4" t="s">
        <v>1375</v>
      </c>
      <c r="H636" s="4" t="s">
        <v>31</v>
      </c>
      <c r="I636" s="4">
        <v>8</v>
      </c>
      <c r="J636" s="4" t="s">
        <v>71</v>
      </c>
      <c r="K636" s="4">
        <v>65</v>
      </c>
      <c r="L636" s="4">
        <v>9</v>
      </c>
      <c r="M636" s="4" t="s">
        <v>33</v>
      </c>
      <c r="N636" s="28">
        <f ca="1" t="shared" si="2"/>
        <v>0.941096832368441</v>
      </c>
      <c r="O636" s="4" t="s">
        <v>34</v>
      </c>
      <c r="P636" s="4">
        <v>585</v>
      </c>
      <c r="Q636" s="4">
        <v>299</v>
      </c>
      <c r="R636" s="4">
        <v>21</v>
      </c>
    </row>
    <row r="637" spans="1:18">
      <c r="A637" s="4" t="s">
        <v>1376</v>
      </c>
      <c r="B637" s="4" t="s">
        <v>1368</v>
      </c>
      <c r="C637" s="4" t="s">
        <v>84</v>
      </c>
      <c r="D637" s="27">
        <v>45250</v>
      </c>
      <c r="E637" s="4" t="s">
        <v>29</v>
      </c>
      <c r="F637" s="4" t="s">
        <v>21</v>
      </c>
      <c r="G637" s="4" t="s">
        <v>1377</v>
      </c>
      <c r="H637" s="4" t="s">
        <v>40</v>
      </c>
      <c r="I637" s="4">
        <v>7</v>
      </c>
      <c r="J637" s="4" t="s">
        <v>141</v>
      </c>
      <c r="K637" s="4">
        <v>250</v>
      </c>
      <c r="L637" s="4">
        <v>2</v>
      </c>
      <c r="M637" s="4" t="s">
        <v>33</v>
      </c>
      <c r="N637" s="28">
        <f ca="1" t="shared" si="2"/>
        <v>0.895737035326458</v>
      </c>
      <c r="O637" s="4" t="s">
        <v>42</v>
      </c>
      <c r="P637" s="4">
        <v>500</v>
      </c>
      <c r="Q637" s="4">
        <v>491</v>
      </c>
      <c r="R637" s="4">
        <v>160</v>
      </c>
    </row>
    <row r="638" spans="1:18">
      <c r="A638" s="4" t="s">
        <v>1378</v>
      </c>
      <c r="B638" s="4" t="s">
        <v>1370</v>
      </c>
      <c r="C638" s="4" t="s">
        <v>53</v>
      </c>
      <c r="D638" s="27">
        <v>45251</v>
      </c>
      <c r="E638" s="4" t="s">
        <v>20</v>
      </c>
      <c r="F638" s="4" t="s">
        <v>21</v>
      </c>
      <c r="G638" s="4" t="s">
        <v>1379</v>
      </c>
      <c r="H638" s="4" t="s">
        <v>23</v>
      </c>
      <c r="I638" s="4">
        <v>9</v>
      </c>
      <c r="J638" s="4" t="s">
        <v>24</v>
      </c>
      <c r="K638" s="4">
        <v>130</v>
      </c>
      <c r="L638" s="4">
        <v>3</v>
      </c>
      <c r="M638" s="4" t="s">
        <v>33</v>
      </c>
      <c r="N638" s="28">
        <f ca="1" t="shared" si="2"/>
        <v>0.741234380567619</v>
      </c>
      <c r="O638" s="4" t="s">
        <v>47</v>
      </c>
      <c r="P638" s="4">
        <v>390</v>
      </c>
      <c r="Q638" s="4">
        <v>154</v>
      </c>
      <c r="R638" s="4">
        <v>55</v>
      </c>
    </row>
    <row r="639" spans="1:18">
      <c r="A639" s="4" t="s">
        <v>1380</v>
      </c>
      <c r="B639" s="4" t="s">
        <v>1372</v>
      </c>
      <c r="C639" s="4" t="s">
        <v>91</v>
      </c>
      <c r="D639" s="27">
        <v>45244</v>
      </c>
      <c r="E639" s="4" t="s">
        <v>29</v>
      </c>
      <c r="F639" s="4" t="s">
        <v>21</v>
      </c>
      <c r="G639" s="4" t="s">
        <v>1381</v>
      </c>
      <c r="H639" s="4" t="s">
        <v>31</v>
      </c>
      <c r="I639" s="4">
        <v>8</v>
      </c>
      <c r="J639" s="4" t="s">
        <v>32</v>
      </c>
      <c r="K639" s="4">
        <v>72</v>
      </c>
      <c r="L639" s="4">
        <v>9</v>
      </c>
      <c r="M639" s="4" t="s">
        <v>25</v>
      </c>
      <c r="N639" s="28">
        <f ca="1" t="shared" si="2"/>
        <v>0.994746740731062</v>
      </c>
      <c r="O639" s="4" t="s">
        <v>26</v>
      </c>
      <c r="P639" s="4">
        <v>648</v>
      </c>
      <c r="Q639" s="4">
        <v>281</v>
      </c>
      <c r="R639" s="4">
        <v>45</v>
      </c>
    </row>
    <row r="640" spans="1:18">
      <c r="A640" s="4" t="s">
        <v>1382</v>
      </c>
      <c r="B640" s="4" t="s">
        <v>1374</v>
      </c>
      <c r="C640" s="4" t="s">
        <v>77</v>
      </c>
      <c r="D640" s="27">
        <v>45243</v>
      </c>
      <c r="E640" s="4" t="s">
        <v>20</v>
      </c>
      <c r="F640" s="4" t="s">
        <v>21</v>
      </c>
      <c r="G640" s="4" t="s">
        <v>1383</v>
      </c>
      <c r="H640" s="4" t="s">
        <v>40</v>
      </c>
      <c r="I640" s="4">
        <v>9</v>
      </c>
      <c r="J640" s="4" t="s">
        <v>86</v>
      </c>
      <c r="K640" s="4">
        <v>65</v>
      </c>
      <c r="L640" s="4">
        <v>6</v>
      </c>
      <c r="M640" s="4" t="s">
        <v>33</v>
      </c>
      <c r="N640" s="28">
        <f ca="1" t="shared" si="2"/>
        <v>0.689008735361929</v>
      </c>
      <c r="O640" s="4" t="s">
        <v>34</v>
      </c>
      <c r="P640" s="4">
        <v>390</v>
      </c>
      <c r="Q640" s="4">
        <v>122</v>
      </c>
      <c r="R640" s="4">
        <v>33</v>
      </c>
    </row>
    <row r="641" spans="1:18">
      <c r="A641" s="4" t="s">
        <v>1384</v>
      </c>
      <c r="B641" s="4" t="s">
        <v>1376</v>
      </c>
      <c r="C641" s="4" t="s">
        <v>49</v>
      </c>
      <c r="D641" s="27">
        <v>45240</v>
      </c>
      <c r="E641" s="4" t="s">
        <v>29</v>
      </c>
      <c r="F641" s="4" t="s">
        <v>21</v>
      </c>
      <c r="G641" s="4" t="s">
        <v>1385</v>
      </c>
      <c r="H641" s="4" t="s">
        <v>23</v>
      </c>
      <c r="I641" s="4">
        <v>9</v>
      </c>
      <c r="J641" s="4" t="s">
        <v>89</v>
      </c>
      <c r="K641" s="4">
        <v>250</v>
      </c>
      <c r="L641" s="4">
        <v>3</v>
      </c>
      <c r="M641" s="4" t="s">
        <v>25</v>
      </c>
      <c r="N641" s="28">
        <f ca="1" t="shared" si="2"/>
        <v>0.142179976404746</v>
      </c>
      <c r="O641" s="4" t="s">
        <v>42</v>
      </c>
      <c r="P641" s="4">
        <v>750</v>
      </c>
      <c r="Q641" s="4">
        <v>49</v>
      </c>
      <c r="R641" s="4">
        <v>103</v>
      </c>
    </row>
    <row r="642" spans="1:18">
      <c r="A642" s="4" t="s">
        <v>1386</v>
      </c>
      <c r="B642" s="4" t="s">
        <v>1378</v>
      </c>
      <c r="C642" s="4" t="s">
        <v>101</v>
      </c>
      <c r="D642" s="27">
        <v>45258</v>
      </c>
      <c r="E642" s="4" t="s">
        <v>20</v>
      </c>
      <c r="F642" s="4" t="s">
        <v>21</v>
      </c>
      <c r="G642" s="4" t="s">
        <v>1387</v>
      </c>
      <c r="H642" s="4" t="s">
        <v>31</v>
      </c>
      <c r="I642" s="4">
        <v>9</v>
      </c>
      <c r="J642" s="4" t="s">
        <v>93</v>
      </c>
      <c r="K642" s="4">
        <v>130</v>
      </c>
      <c r="L642" s="4">
        <v>3</v>
      </c>
      <c r="M642" s="4" t="s">
        <v>33</v>
      </c>
      <c r="N642" s="28">
        <f ca="1" t="shared" si="2"/>
        <v>0.373281387289277</v>
      </c>
      <c r="O642" s="4" t="s">
        <v>47</v>
      </c>
      <c r="P642" s="4">
        <v>390</v>
      </c>
      <c r="Q642" s="4">
        <v>88</v>
      </c>
      <c r="R642" s="4">
        <v>82</v>
      </c>
    </row>
    <row r="643" spans="1:18">
      <c r="A643" s="4" t="s">
        <v>1388</v>
      </c>
      <c r="B643" s="4" t="s">
        <v>1380</v>
      </c>
      <c r="C643" s="4" t="s">
        <v>106</v>
      </c>
      <c r="D643" s="27">
        <v>45255</v>
      </c>
      <c r="E643" s="4" t="s">
        <v>29</v>
      </c>
      <c r="F643" s="4" t="s">
        <v>21</v>
      </c>
      <c r="G643" s="4" t="s">
        <v>1389</v>
      </c>
      <c r="H643" s="4" t="s">
        <v>40</v>
      </c>
      <c r="I643" s="4">
        <v>9</v>
      </c>
      <c r="J643" s="4" t="s">
        <v>96</v>
      </c>
      <c r="K643" s="4">
        <v>72</v>
      </c>
      <c r="L643" s="4">
        <v>11</v>
      </c>
      <c r="M643" s="4" t="s">
        <v>25</v>
      </c>
      <c r="N643" s="28">
        <f ca="1" t="shared" si="2"/>
        <v>0.389572235905707</v>
      </c>
      <c r="O643" s="4" t="s">
        <v>26</v>
      </c>
      <c r="P643" s="4">
        <v>792</v>
      </c>
      <c r="Q643" s="4">
        <v>172</v>
      </c>
      <c r="R643" s="4">
        <v>28</v>
      </c>
    </row>
    <row r="644" spans="1:18">
      <c r="A644" s="4" t="s">
        <v>1390</v>
      </c>
      <c r="B644" s="4" t="s">
        <v>1382</v>
      </c>
      <c r="C644" s="4" t="s">
        <v>110</v>
      </c>
      <c r="D644" s="27">
        <v>45233</v>
      </c>
      <c r="E644" s="4" t="s">
        <v>37</v>
      </c>
      <c r="F644" s="4" t="s">
        <v>21</v>
      </c>
      <c r="G644" s="4" t="s">
        <v>1391</v>
      </c>
      <c r="H644" s="4" t="s">
        <v>23</v>
      </c>
      <c r="I644" s="4">
        <v>9</v>
      </c>
      <c r="J644" s="4" t="s">
        <v>58</v>
      </c>
      <c r="K644" s="4">
        <v>65</v>
      </c>
      <c r="L644" s="4">
        <v>13</v>
      </c>
      <c r="M644" s="4" t="s">
        <v>33</v>
      </c>
      <c r="N644" s="28">
        <f ca="1" t="shared" si="2"/>
        <v>0.494212428514092</v>
      </c>
      <c r="O644" s="4" t="s">
        <v>34</v>
      </c>
      <c r="P644" s="4">
        <v>845</v>
      </c>
      <c r="Q644" s="4">
        <v>134</v>
      </c>
      <c r="R644" s="4">
        <v>27</v>
      </c>
    </row>
    <row r="645" spans="1:18">
      <c r="A645" s="4" t="s">
        <v>1392</v>
      </c>
      <c r="B645" s="4" t="s">
        <v>1384</v>
      </c>
      <c r="C645" s="4" t="s">
        <v>73</v>
      </c>
      <c r="D645" s="27">
        <v>45237</v>
      </c>
      <c r="E645" s="4" t="s">
        <v>20</v>
      </c>
      <c r="F645" s="4" t="s">
        <v>21</v>
      </c>
      <c r="G645" s="4" t="s">
        <v>1393</v>
      </c>
      <c r="H645" s="4" t="s">
        <v>31</v>
      </c>
      <c r="I645" s="4">
        <v>8</v>
      </c>
      <c r="J645" s="4" t="s">
        <v>63</v>
      </c>
      <c r="K645" s="4">
        <v>250</v>
      </c>
      <c r="L645" s="4">
        <v>3</v>
      </c>
      <c r="M645" s="4" t="s">
        <v>25</v>
      </c>
      <c r="N645" s="28">
        <f ca="1" t="shared" si="2"/>
        <v>0.12003619158315</v>
      </c>
      <c r="O645" s="4" t="s">
        <v>42</v>
      </c>
      <c r="P645" s="4">
        <v>750</v>
      </c>
      <c r="Q645" s="4">
        <v>312</v>
      </c>
      <c r="R645" s="4">
        <v>108</v>
      </c>
    </row>
    <row r="646" spans="1:18">
      <c r="A646" s="4" t="s">
        <v>1394</v>
      </c>
      <c r="B646" s="4" t="s">
        <v>1386</v>
      </c>
      <c r="C646" s="4" t="s">
        <v>118</v>
      </c>
      <c r="D646" s="27">
        <v>45260</v>
      </c>
      <c r="E646" s="4" t="s">
        <v>29</v>
      </c>
      <c r="F646" s="4" t="s">
        <v>38</v>
      </c>
      <c r="G646" s="4" t="s">
        <v>1395</v>
      </c>
      <c r="H646" s="4" t="s">
        <v>40</v>
      </c>
      <c r="I646" s="4">
        <v>8</v>
      </c>
      <c r="J646" s="4" t="s">
        <v>67</v>
      </c>
      <c r="K646" s="4">
        <v>130</v>
      </c>
      <c r="L646" s="4">
        <v>3</v>
      </c>
      <c r="M646" s="4" t="s">
        <v>33</v>
      </c>
      <c r="N646" s="28">
        <f ca="1" t="shared" si="2"/>
        <v>0.712823309641484</v>
      </c>
      <c r="O646" s="4" t="s">
        <v>47</v>
      </c>
      <c r="P646" s="4">
        <v>390</v>
      </c>
      <c r="Q646" s="4">
        <v>79</v>
      </c>
      <c r="R646" s="4">
        <v>75</v>
      </c>
    </row>
    <row r="647" spans="1:18">
      <c r="A647" s="4" t="s">
        <v>1396</v>
      </c>
      <c r="B647" s="4" t="s">
        <v>1388</v>
      </c>
      <c r="C647" s="4" t="s">
        <v>122</v>
      </c>
      <c r="D647" s="27">
        <v>45251</v>
      </c>
      <c r="E647" s="4" t="s">
        <v>29</v>
      </c>
      <c r="F647" s="4" t="s">
        <v>21</v>
      </c>
      <c r="G647" s="4" t="s">
        <v>1397</v>
      </c>
      <c r="H647" s="4" t="s">
        <v>23</v>
      </c>
      <c r="I647" s="4">
        <v>7</v>
      </c>
      <c r="J647" s="4" t="s">
        <v>103</v>
      </c>
      <c r="K647" s="4">
        <v>60</v>
      </c>
      <c r="L647" s="4">
        <v>6</v>
      </c>
      <c r="M647" s="4" t="s">
        <v>25</v>
      </c>
      <c r="N647" s="28">
        <f ca="1" t="shared" si="2"/>
        <v>0.324459527723284</v>
      </c>
      <c r="O647" s="4" t="s">
        <v>68</v>
      </c>
      <c r="P647" s="4">
        <v>360</v>
      </c>
      <c r="Q647" s="4">
        <v>197</v>
      </c>
      <c r="R647" s="4">
        <v>30</v>
      </c>
    </row>
    <row r="648" spans="1:18">
      <c r="A648" s="4" t="s">
        <v>1398</v>
      </c>
      <c r="B648" s="4" t="s">
        <v>1390</v>
      </c>
      <c r="C648" s="4" t="s">
        <v>126</v>
      </c>
      <c r="D648" s="27">
        <v>45260</v>
      </c>
      <c r="E648" s="4" t="s">
        <v>20</v>
      </c>
      <c r="F648" s="4" t="s">
        <v>21</v>
      </c>
      <c r="G648" s="4" t="s">
        <v>1399</v>
      </c>
      <c r="H648" s="4" t="s">
        <v>31</v>
      </c>
      <c r="I648" s="4">
        <v>7</v>
      </c>
      <c r="J648" s="4" t="s">
        <v>108</v>
      </c>
      <c r="K648" s="4">
        <v>72</v>
      </c>
      <c r="L648" s="4">
        <v>6</v>
      </c>
      <c r="M648" s="4" t="s">
        <v>33</v>
      </c>
      <c r="N648" s="28">
        <f ca="1" t="shared" si="2"/>
        <v>0.499679187973582</v>
      </c>
      <c r="O648" s="4" t="s">
        <v>26</v>
      </c>
      <c r="P648" s="4">
        <v>432</v>
      </c>
      <c r="Q648" s="4">
        <v>407</v>
      </c>
      <c r="R648" s="4">
        <v>27</v>
      </c>
    </row>
    <row r="649" spans="1:18">
      <c r="A649" s="4" t="s">
        <v>1400</v>
      </c>
      <c r="B649" s="4" t="s">
        <v>1392</v>
      </c>
      <c r="C649" s="4" t="s">
        <v>130</v>
      </c>
      <c r="D649" s="27">
        <v>45237</v>
      </c>
      <c r="E649" s="4" t="s">
        <v>29</v>
      </c>
      <c r="F649" s="4" t="s">
        <v>21</v>
      </c>
      <c r="G649" s="4" t="s">
        <v>1401</v>
      </c>
      <c r="H649" s="4" t="s">
        <v>40</v>
      </c>
      <c r="I649" s="4">
        <v>9</v>
      </c>
      <c r="J649" s="4" t="s">
        <v>112</v>
      </c>
      <c r="K649" s="4">
        <v>65</v>
      </c>
      <c r="L649" s="4">
        <v>5</v>
      </c>
      <c r="M649" s="4" t="s">
        <v>25</v>
      </c>
      <c r="N649" s="28">
        <f ca="1" t="shared" si="2"/>
        <v>0.83747768545863</v>
      </c>
      <c r="O649" s="4" t="s">
        <v>34</v>
      </c>
      <c r="P649" s="4">
        <v>325</v>
      </c>
      <c r="Q649" s="4">
        <v>246</v>
      </c>
      <c r="R649" s="4">
        <v>31</v>
      </c>
    </row>
    <row r="650" spans="1:18">
      <c r="A650" s="4" t="s">
        <v>1402</v>
      </c>
      <c r="B650" s="4" t="s">
        <v>1394</v>
      </c>
      <c r="C650" s="4" t="s">
        <v>134</v>
      </c>
      <c r="D650" s="27">
        <v>45252</v>
      </c>
      <c r="E650" s="4" t="s">
        <v>20</v>
      </c>
      <c r="F650" s="4" t="s">
        <v>21</v>
      </c>
      <c r="G650" s="4" t="s">
        <v>1403</v>
      </c>
      <c r="H650" s="4" t="s">
        <v>23</v>
      </c>
      <c r="I650" s="4">
        <v>8</v>
      </c>
      <c r="J650" s="4" t="s">
        <v>116</v>
      </c>
      <c r="K650" s="4">
        <v>250</v>
      </c>
      <c r="L650" s="4">
        <v>3</v>
      </c>
      <c r="M650" s="4" t="s">
        <v>33</v>
      </c>
      <c r="N650" s="28">
        <f ca="1" t="shared" si="2"/>
        <v>0.076432058784357</v>
      </c>
      <c r="O650" s="4" t="s">
        <v>42</v>
      </c>
      <c r="P650" s="4">
        <v>750</v>
      </c>
      <c r="Q650" s="4">
        <v>13</v>
      </c>
      <c r="R650" s="4">
        <v>115</v>
      </c>
    </row>
    <row r="651" spans="1:18">
      <c r="A651" s="4" t="s">
        <v>1404</v>
      </c>
      <c r="B651" s="4" t="s">
        <v>1396</v>
      </c>
      <c r="C651" s="4" t="s">
        <v>139</v>
      </c>
      <c r="D651" s="27">
        <v>45256</v>
      </c>
      <c r="E651" s="4" t="s">
        <v>29</v>
      </c>
      <c r="F651" s="4" t="s">
        <v>21</v>
      </c>
      <c r="G651" s="4" t="s">
        <v>1405</v>
      </c>
      <c r="H651" s="4" t="s">
        <v>23</v>
      </c>
      <c r="I651" s="4">
        <v>8</v>
      </c>
      <c r="J651" s="4" t="s">
        <v>120</v>
      </c>
      <c r="K651" s="4">
        <v>130</v>
      </c>
      <c r="L651" s="4">
        <v>6</v>
      </c>
      <c r="M651" s="4" t="s">
        <v>25</v>
      </c>
      <c r="N651" s="28">
        <f ca="1" t="shared" si="2"/>
        <v>0.880182548281369</v>
      </c>
      <c r="O651" s="4" t="s">
        <v>47</v>
      </c>
      <c r="P651" s="4">
        <v>780</v>
      </c>
      <c r="Q651" s="4">
        <v>113</v>
      </c>
      <c r="R651" s="4">
        <v>53</v>
      </c>
    </row>
    <row r="652" spans="1:18">
      <c r="A652" s="4" t="s">
        <v>1406</v>
      </c>
      <c r="B652" s="4" t="s">
        <v>1398</v>
      </c>
      <c r="C652" s="4" t="s">
        <v>143</v>
      </c>
      <c r="D652" s="27">
        <v>45257</v>
      </c>
      <c r="E652" s="4" t="s">
        <v>29</v>
      </c>
      <c r="F652" s="4" t="s">
        <v>38</v>
      </c>
      <c r="G652" s="4" t="s">
        <v>1407</v>
      </c>
      <c r="H652" s="4" t="s">
        <v>23</v>
      </c>
      <c r="I652" s="4">
        <v>10</v>
      </c>
      <c r="J652" s="4" t="s">
        <v>124</v>
      </c>
      <c r="K652" s="4">
        <v>72</v>
      </c>
      <c r="L652" s="4">
        <v>5</v>
      </c>
      <c r="M652" s="4" t="s">
        <v>33</v>
      </c>
      <c r="N652" s="28">
        <f ca="1" t="shared" si="2"/>
        <v>0.36561005757209</v>
      </c>
      <c r="O652" s="4" t="s">
        <v>26</v>
      </c>
      <c r="P652" s="4">
        <v>360</v>
      </c>
      <c r="Q652" s="4">
        <v>199</v>
      </c>
      <c r="R652" s="4">
        <v>41</v>
      </c>
    </row>
    <row r="653" spans="1:18">
      <c r="A653" s="4" t="s">
        <v>1408</v>
      </c>
      <c r="B653" s="4" t="s">
        <v>1400</v>
      </c>
      <c r="C653" s="4" t="s">
        <v>146</v>
      </c>
      <c r="D653" s="27">
        <v>45233</v>
      </c>
      <c r="E653" s="4" t="s">
        <v>20</v>
      </c>
      <c r="F653" s="4" t="s">
        <v>21</v>
      </c>
      <c r="G653" s="4" t="s">
        <v>1409</v>
      </c>
      <c r="H653" s="4" t="s">
        <v>31</v>
      </c>
      <c r="I653" s="4">
        <v>8</v>
      </c>
      <c r="J653" s="4" t="s">
        <v>128</v>
      </c>
      <c r="K653" s="4">
        <v>65</v>
      </c>
      <c r="L653" s="4">
        <v>10</v>
      </c>
      <c r="M653" s="4" t="s">
        <v>25</v>
      </c>
      <c r="N653" s="28">
        <f ca="1" t="shared" si="2"/>
        <v>0.537868834784783</v>
      </c>
      <c r="O653" s="4" t="s">
        <v>34</v>
      </c>
      <c r="P653" s="4">
        <v>650</v>
      </c>
      <c r="Q653" s="4">
        <v>603</v>
      </c>
      <c r="R653" s="4">
        <v>37</v>
      </c>
    </row>
    <row r="654" spans="1:18">
      <c r="A654" s="4" t="s">
        <v>1410</v>
      </c>
      <c r="B654" s="4" t="s">
        <v>1402</v>
      </c>
      <c r="C654" s="4" t="s">
        <v>149</v>
      </c>
      <c r="D654" s="27">
        <v>45231</v>
      </c>
      <c r="E654" s="4" t="s">
        <v>29</v>
      </c>
      <c r="F654" s="4" t="s">
        <v>21</v>
      </c>
      <c r="G654" s="4" t="s">
        <v>1411</v>
      </c>
      <c r="H654" s="4" t="s">
        <v>40</v>
      </c>
      <c r="I654" s="4">
        <v>8</v>
      </c>
      <c r="J654" s="4" t="s">
        <v>63</v>
      </c>
      <c r="K654" s="4">
        <v>250</v>
      </c>
      <c r="L654" s="4">
        <v>2</v>
      </c>
      <c r="M654" s="4" t="s">
        <v>33</v>
      </c>
      <c r="N654" s="28">
        <f ca="1" t="shared" si="2"/>
        <v>0.634766904306064</v>
      </c>
      <c r="O654" s="4" t="s">
        <v>42</v>
      </c>
      <c r="P654" s="4">
        <v>500</v>
      </c>
      <c r="Q654" s="4">
        <v>183</v>
      </c>
      <c r="R654" s="4">
        <v>130</v>
      </c>
    </row>
    <row r="655" spans="1:18">
      <c r="A655" s="4" t="s">
        <v>1412</v>
      </c>
      <c r="B655" s="4" t="s">
        <v>1404</v>
      </c>
      <c r="C655" s="4" t="s">
        <v>152</v>
      </c>
      <c r="D655" s="27">
        <v>45253</v>
      </c>
      <c r="E655" s="4" t="s">
        <v>29</v>
      </c>
      <c r="F655" s="4" t="s">
        <v>21</v>
      </c>
      <c r="G655" s="4" t="s">
        <v>1413</v>
      </c>
      <c r="H655" s="4" t="s">
        <v>23</v>
      </c>
      <c r="I655" s="4">
        <v>8</v>
      </c>
      <c r="J655" s="4" t="s">
        <v>67</v>
      </c>
      <c r="K655" s="4">
        <v>130</v>
      </c>
      <c r="L655" s="4">
        <v>2</v>
      </c>
      <c r="M655" s="4" t="s">
        <v>25</v>
      </c>
      <c r="N655" s="28">
        <f ca="1" t="shared" si="2"/>
        <v>0.408836435215816</v>
      </c>
      <c r="O655" s="4" t="s">
        <v>47</v>
      </c>
      <c r="P655" s="4">
        <v>260</v>
      </c>
      <c r="Q655" s="4">
        <v>124</v>
      </c>
      <c r="R655" s="4">
        <v>72</v>
      </c>
    </row>
    <row r="656" spans="1:18">
      <c r="A656" s="4" t="s">
        <v>1414</v>
      </c>
      <c r="B656" s="4" t="s">
        <v>1406</v>
      </c>
      <c r="C656" s="4" t="s">
        <v>84</v>
      </c>
      <c r="D656" s="27">
        <v>45256</v>
      </c>
      <c r="E656" s="4" t="s">
        <v>20</v>
      </c>
      <c r="F656" s="4" t="s">
        <v>21</v>
      </c>
      <c r="G656" s="4" t="s">
        <v>1415</v>
      </c>
      <c r="H656" s="4" t="s">
        <v>31</v>
      </c>
      <c r="I656" s="4">
        <v>8</v>
      </c>
      <c r="J656" s="4" t="s">
        <v>71</v>
      </c>
      <c r="K656" s="4">
        <v>60</v>
      </c>
      <c r="L656" s="4">
        <v>10</v>
      </c>
      <c r="M656" s="4" t="s">
        <v>25</v>
      </c>
      <c r="N656" s="28">
        <f ca="1" t="shared" si="2"/>
        <v>0.123937710802209</v>
      </c>
      <c r="O656" s="4" t="s">
        <v>68</v>
      </c>
      <c r="P656" s="4">
        <v>600</v>
      </c>
      <c r="Q656" s="4">
        <v>204</v>
      </c>
      <c r="R656" s="4">
        <v>27</v>
      </c>
    </row>
    <row r="657" spans="1:18">
      <c r="A657" s="4" t="s">
        <v>1416</v>
      </c>
      <c r="B657" s="4" t="s">
        <v>1408</v>
      </c>
      <c r="C657" s="4" t="s">
        <v>118</v>
      </c>
      <c r="D657" s="27">
        <v>45251</v>
      </c>
      <c r="E657" s="4" t="s">
        <v>29</v>
      </c>
      <c r="F657" s="4" t="s">
        <v>21</v>
      </c>
      <c r="G657" s="4" t="s">
        <v>1417</v>
      </c>
      <c r="H657" s="4" t="s">
        <v>40</v>
      </c>
      <c r="I657" s="4">
        <v>7</v>
      </c>
      <c r="J657" s="4" t="s">
        <v>120</v>
      </c>
      <c r="K657" s="4">
        <v>95</v>
      </c>
      <c r="L657" s="4">
        <v>3</v>
      </c>
      <c r="M657" s="4" t="s">
        <v>33</v>
      </c>
      <c r="N657" s="28">
        <f ca="1" t="shared" si="2"/>
        <v>0.19503313028399</v>
      </c>
      <c r="O657" s="4" t="s">
        <v>104</v>
      </c>
      <c r="P657" s="4">
        <v>285</v>
      </c>
      <c r="Q657" s="4">
        <v>37</v>
      </c>
      <c r="R657" s="4">
        <v>48</v>
      </c>
    </row>
    <row r="658" spans="1:18">
      <c r="A658" s="4" t="s">
        <v>1418</v>
      </c>
      <c r="B658" s="4" t="s">
        <v>1410</v>
      </c>
      <c r="C658" s="4" t="s">
        <v>139</v>
      </c>
      <c r="D658" s="27">
        <v>45253</v>
      </c>
      <c r="E658" s="4" t="s">
        <v>20</v>
      </c>
      <c r="F658" s="4" t="s">
        <v>21</v>
      </c>
      <c r="G658" s="4" t="s">
        <v>1419</v>
      </c>
      <c r="H658" s="4" t="s">
        <v>23</v>
      </c>
      <c r="I658" s="4">
        <v>7</v>
      </c>
      <c r="J658" s="4" t="s">
        <v>86</v>
      </c>
      <c r="K658" s="4">
        <v>72</v>
      </c>
      <c r="L658" s="4">
        <v>6</v>
      </c>
      <c r="M658" s="4" t="s">
        <v>33</v>
      </c>
      <c r="N658" s="28">
        <f ca="1" t="shared" si="2"/>
        <v>0.198922371897214</v>
      </c>
      <c r="O658" s="4" t="s">
        <v>26</v>
      </c>
      <c r="P658" s="4">
        <v>432</v>
      </c>
      <c r="Q658" s="4">
        <v>122</v>
      </c>
      <c r="R658" s="4">
        <v>41</v>
      </c>
    </row>
    <row r="659" spans="1:18">
      <c r="A659" s="4" t="s">
        <v>1420</v>
      </c>
      <c r="B659" s="4" t="s">
        <v>1412</v>
      </c>
      <c r="C659" s="4" t="s">
        <v>49</v>
      </c>
      <c r="D659" s="27">
        <v>45251</v>
      </c>
      <c r="E659" s="4" t="s">
        <v>29</v>
      </c>
      <c r="F659" s="4" t="s">
        <v>21</v>
      </c>
      <c r="G659" s="4" t="s">
        <v>1421</v>
      </c>
      <c r="H659" s="4" t="s">
        <v>31</v>
      </c>
      <c r="I659" s="4">
        <v>9</v>
      </c>
      <c r="J659" s="4" t="s">
        <v>120</v>
      </c>
      <c r="K659" s="4">
        <v>65</v>
      </c>
      <c r="L659" s="4">
        <v>8</v>
      </c>
      <c r="M659" s="4" t="s">
        <v>33</v>
      </c>
      <c r="N659" s="28">
        <f ca="1" t="shared" si="2"/>
        <v>0.641504967194646</v>
      </c>
      <c r="O659" s="4" t="s">
        <v>34</v>
      </c>
      <c r="P659" s="4">
        <v>520</v>
      </c>
      <c r="Q659" s="4">
        <v>211</v>
      </c>
      <c r="R659" s="4">
        <v>38</v>
      </c>
    </row>
    <row r="660" spans="1:18">
      <c r="A660" s="4" t="s">
        <v>1422</v>
      </c>
      <c r="B660" s="4" t="s">
        <v>1414</v>
      </c>
      <c r="C660" s="4" t="s">
        <v>91</v>
      </c>
      <c r="D660" s="27">
        <v>45243</v>
      </c>
      <c r="E660" s="4" t="s">
        <v>20</v>
      </c>
      <c r="F660" s="4" t="s">
        <v>21</v>
      </c>
      <c r="G660" s="4" t="s">
        <v>1423</v>
      </c>
      <c r="H660" s="4" t="s">
        <v>40</v>
      </c>
      <c r="I660" s="4">
        <v>7</v>
      </c>
      <c r="J660" s="4" t="s">
        <v>86</v>
      </c>
      <c r="K660" s="4">
        <v>250</v>
      </c>
      <c r="L660" s="4">
        <v>2</v>
      </c>
      <c r="M660" s="4" t="s">
        <v>25</v>
      </c>
      <c r="N660" s="28">
        <f ca="1" t="shared" si="2"/>
        <v>0.675986054476979</v>
      </c>
      <c r="O660" s="4" t="s">
        <v>42</v>
      </c>
      <c r="P660" s="4">
        <v>500</v>
      </c>
      <c r="Q660" s="4">
        <v>49</v>
      </c>
      <c r="R660" s="4">
        <v>105</v>
      </c>
    </row>
    <row r="661" spans="1:18">
      <c r="A661" s="4" t="s">
        <v>1424</v>
      </c>
      <c r="B661" s="4" t="s">
        <v>1416</v>
      </c>
      <c r="C661" s="4" t="s">
        <v>146</v>
      </c>
      <c r="D661" s="27">
        <v>45240</v>
      </c>
      <c r="E661" s="4" t="s">
        <v>29</v>
      </c>
      <c r="F661" s="4" t="s">
        <v>21</v>
      </c>
      <c r="G661" s="4" t="s">
        <v>1425</v>
      </c>
      <c r="H661" s="4" t="s">
        <v>23</v>
      </c>
      <c r="I661" s="4">
        <v>9</v>
      </c>
      <c r="J661" s="4" t="s">
        <v>120</v>
      </c>
      <c r="K661" s="4">
        <v>130</v>
      </c>
      <c r="L661" s="4">
        <v>2</v>
      </c>
      <c r="M661" s="4" t="s">
        <v>25</v>
      </c>
      <c r="N661" s="28">
        <f ca="1" t="shared" si="2"/>
        <v>0.454381308592698</v>
      </c>
      <c r="O661" s="4" t="s">
        <v>47</v>
      </c>
      <c r="P661" s="4">
        <v>260</v>
      </c>
      <c r="Q661" s="4">
        <v>63</v>
      </c>
      <c r="R661" s="4">
        <v>70</v>
      </c>
    </row>
    <row r="662" spans="1:18">
      <c r="A662" s="4" t="s">
        <v>1426</v>
      </c>
      <c r="B662" s="4" t="s">
        <v>1418</v>
      </c>
      <c r="C662" s="4" t="s">
        <v>149</v>
      </c>
      <c r="D662" s="27">
        <v>45255</v>
      </c>
      <c r="E662" s="4" t="s">
        <v>37</v>
      </c>
      <c r="F662" s="4" t="s">
        <v>21</v>
      </c>
      <c r="G662" s="4" t="s">
        <v>1427</v>
      </c>
      <c r="H662" s="4" t="s">
        <v>31</v>
      </c>
      <c r="I662" s="4">
        <v>10</v>
      </c>
      <c r="J662" s="4" t="s">
        <v>86</v>
      </c>
      <c r="K662" s="4">
        <v>72</v>
      </c>
      <c r="L662" s="4">
        <v>9</v>
      </c>
      <c r="M662" s="4" t="s">
        <v>25</v>
      </c>
      <c r="N662" s="28">
        <f ca="1" t="shared" si="2"/>
        <v>0.923972086925509</v>
      </c>
      <c r="O662" s="4" t="s">
        <v>26</v>
      </c>
      <c r="P662" s="4">
        <v>648</v>
      </c>
      <c r="Q662" s="4">
        <v>205</v>
      </c>
      <c r="R662" s="4">
        <v>22</v>
      </c>
    </row>
    <row r="663" spans="1:18">
      <c r="A663" s="4" t="s">
        <v>1428</v>
      </c>
      <c r="B663" s="4" t="s">
        <v>1420</v>
      </c>
      <c r="C663" s="4" t="s">
        <v>171</v>
      </c>
      <c r="D663" s="27">
        <v>45233</v>
      </c>
      <c r="E663" s="4" t="s">
        <v>20</v>
      </c>
      <c r="F663" s="4" t="s">
        <v>21</v>
      </c>
      <c r="G663" s="4" t="s">
        <v>1429</v>
      </c>
      <c r="H663" s="4" t="s">
        <v>40</v>
      </c>
      <c r="I663" s="4">
        <v>7</v>
      </c>
      <c r="J663" s="4" t="s">
        <v>120</v>
      </c>
      <c r="K663" s="4">
        <v>65</v>
      </c>
      <c r="L663" s="4">
        <v>4</v>
      </c>
      <c r="M663" s="4" t="s">
        <v>25</v>
      </c>
      <c r="N663" s="28">
        <f ca="1" t="shared" si="2"/>
        <v>0.252094220112214</v>
      </c>
      <c r="O663" s="4" t="s">
        <v>34</v>
      </c>
      <c r="P663" s="4">
        <v>260</v>
      </c>
      <c r="Q663" s="4">
        <v>254</v>
      </c>
      <c r="R663" s="4">
        <v>27</v>
      </c>
    </row>
    <row r="664" spans="1:18">
      <c r="A664" s="4" t="s">
        <v>1430</v>
      </c>
      <c r="B664" s="4" t="s">
        <v>1422</v>
      </c>
      <c r="C664" s="4" t="s">
        <v>316</v>
      </c>
      <c r="D664" s="27">
        <v>45258</v>
      </c>
      <c r="E664" s="4" t="s">
        <v>29</v>
      </c>
      <c r="F664" s="4" t="s">
        <v>21</v>
      </c>
      <c r="G664" s="4" t="s">
        <v>1431</v>
      </c>
      <c r="H664" s="4" t="s">
        <v>23</v>
      </c>
      <c r="I664" s="4">
        <v>10</v>
      </c>
      <c r="J664" s="4" t="s">
        <v>86</v>
      </c>
      <c r="K664" s="4">
        <v>250</v>
      </c>
      <c r="L664" s="4">
        <v>1</v>
      </c>
      <c r="M664" s="4" t="s">
        <v>25</v>
      </c>
      <c r="N664" s="28">
        <f ca="1" t="shared" si="2"/>
        <v>0.113357964444584</v>
      </c>
      <c r="O664" s="4" t="s">
        <v>42</v>
      </c>
      <c r="P664" s="4">
        <v>250</v>
      </c>
      <c r="Q664" s="4">
        <v>144</v>
      </c>
      <c r="R664" s="4">
        <v>130</v>
      </c>
    </row>
    <row r="665" spans="1:18">
      <c r="A665" s="4" t="s">
        <v>1432</v>
      </c>
      <c r="B665" s="4" t="s">
        <v>1424</v>
      </c>
      <c r="C665" s="4" t="s">
        <v>176</v>
      </c>
      <c r="D665" s="27">
        <v>45233</v>
      </c>
      <c r="E665" s="4" t="s">
        <v>29</v>
      </c>
      <c r="F665" s="4" t="s">
        <v>21</v>
      </c>
      <c r="G665" s="4" t="s">
        <v>1433</v>
      </c>
      <c r="H665" s="4" t="s">
        <v>31</v>
      </c>
      <c r="I665" s="4">
        <v>9</v>
      </c>
      <c r="J665" s="4" t="s">
        <v>120</v>
      </c>
      <c r="K665" s="4">
        <v>130</v>
      </c>
      <c r="L665" s="4">
        <v>5</v>
      </c>
      <c r="M665" s="4" t="s">
        <v>25</v>
      </c>
      <c r="N665" s="28">
        <f ca="1" t="shared" si="2"/>
        <v>0.695280325861396</v>
      </c>
      <c r="O665" s="4" t="s">
        <v>47</v>
      </c>
      <c r="P665" s="4">
        <v>650</v>
      </c>
      <c r="Q665" s="4">
        <v>166</v>
      </c>
      <c r="R665" s="4">
        <v>79</v>
      </c>
    </row>
    <row r="666" spans="1:18">
      <c r="A666" s="4" t="s">
        <v>1434</v>
      </c>
      <c r="B666" s="4" t="s">
        <v>1426</v>
      </c>
      <c r="C666" s="4" t="s">
        <v>179</v>
      </c>
      <c r="D666" s="27">
        <v>45243</v>
      </c>
      <c r="E666" s="4" t="s">
        <v>20</v>
      </c>
      <c r="F666" s="4" t="s">
        <v>21</v>
      </c>
      <c r="G666" s="4" t="s">
        <v>1435</v>
      </c>
      <c r="H666" s="4" t="s">
        <v>40</v>
      </c>
      <c r="I666" s="4">
        <v>8</v>
      </c>
      <c r="J666" s="4" t="s">
        <v>86</v>
      </c>
      <c r="K666" s="4">
        <v>60</v>
      </c>
      <c r="L666" s="4">
        <v>12</v>
      </c>
      <c r="M666" s="4" t="s">
        <v>25</v>
      </c>
      <c r="N666" s="28">
        <f ca="1" t="shared" si="2"/>
        <v>0.380615960506784</v>
      </c>
      <c r="O666" s="4" t="s">
        <v>68</v>
      </c>
      <c r="P666" s="4">
        <v>720</v>
      </c>
      <c r="Q666" s="4">
        <v>203</v>
      </c>
      <c r="R666" s="4">
        <v>32</v>
      </c>
    </row>
    <row r="667" spans="1:18">
      <c r="A667" s="4" t="s">
        <v>1436</v>
      </c>
      <c r="B667" s="4" t="s">
        <v>1428</v>
      </c>
      <c r="C667" s="4" t="s">
        <v>182</v>
      </c>
      <c r="D667" s="27">
        <v>45254</v>
      </c>
      <c r="E667" s="4" t="s">
        <v>29</v>
      </c>
      <c r="F667" s="4" t="s">
        <v>21</v>
      </c>
      <c r="G667" s="4" t="s">
        <v>1437</v>
      </c>
      <c r="H667" s="4" t="s">
        <v>23</v>
      </c>
      <c r="I667" s="4">
        <v>7</v>
      </c>
      <c r="J667" s="4" t="s">
        <v>120</v>
      </c>
      <c r="K667" s="4">
        <v>72</v>
      </c>
      <c r="L667" s="4">
        <v>6</v>
      </c>
      <c r="M667" s="4" t="s">
        <v>25</v>
      </c>
      <c r="N667" s="28">
        <f ca="1" t="shared" si="2"/>
        <v>0.696683510866706</v>
      </c>
      <c r="O667" s="4" t="s">
        <v>26</v>
      </c>
      <c r="P667" s="4">
        <v>432</v>
      </c>
      <c r="Q667" s="4">
        <v>47</v>
      </c>
      <c r="R667" s="4">
        <v>27</v>
      </c>
    </row>
    <row r="668" spans="1:18">
      <c r="A668" s="4" t="s">
        <v>1438</v>
      </c>
      <c r="B668" s="4" t="s">
        <v>1430</v>
      </c>
      <c r="C668" s="4" t="s">
        <v>73</v>
      </c>
      <c r="D668" s="27">
        <v>45240</v>
      </c>
      <c r="E668" s="4" t="s">
        <v>20</v>
      </c>
      <c r="F668" s="4" t="s">
        <v>21</v>
      </c>
      <c r="G668" s="4" t="s">
        <v>1439</v>
      </c>
      <c r="H668" s="4" t="s">
        <v>31</v>
      </c>
      <c r="I668" s="4">
        <v>7</v>
      </c>
      <c r="J668" s="4" t="s">
        <v>86</v>
      </c>
      <c r="K668" s="4">
        <v>65</v>
      </c>
      <c r="L668" s="4">
        <v>6</v>
      </c>
      <c r="M668" s="4" t="s">
        <v>25</v>
      </c>
      <c r="N668" s="28">
        <f ca="1" t="shared" si="2"/>
        <v>0.122675698564657</v>
      </c>
      <c r="O668" s="4" t="s">
        <v>34</v>
      </c>
      <c r="P668" s="4">
        <v>390</v>
      </c>
      <c r="Q668" s="4">
        <v>357</v>
      </c>
      <c r="R668" s="4">
        <v>27</v>
      </c>
    </row>
    <row r="669" spans="1:18">
      <c r="A669" s="4" t="s">
        <v>1440</v>
      </c>
      <c r="B669" s="4" t="s">
        <v>1432</v>
      </c>
      <c r="C669" s="4" t="s">
        <v>188</v>
      </c>
      <c r="D669" s="27">
        <v>45243</v>
      </c>
      <c r="E669" s="4" t="s">
        <v>29</v>
      </c>
      <c r="F669" s="4" t="s">
        <v>21</v>
      </c>
      <c r="G669" s="4" t="s">
        <v>1441</v>
      </c>
      <c r="H669" s="4" t="s">
        <v>40</v>
      </c>
      <c r="I669" s="4">
        <v>7</v>
      </c>
      <c r="J669" s="4" t="s">
        <v>120</v>
      </c>
      <c r="K669" s="4">
        <v>250</v>
      </c>
      <c r="L669" s="4">
        <v>2</v>
      </c>
      <c r="M669" s="4" t="s">
        <v>33</v>
      </c>
      <c r="N669" s="28">
        <f ca="1" t="shared" si="2"/>
        <v>0.8820003789794</v>
      </c>
      <c r="O669" s="4" t="s">
        <v>42</v>
      </c>
      <c r="P669" s="4">
        <v>500</v>
      </c>
      <c r="Q669" s="4">
        <v>120</v>
      </c>
      <c r="R669" s="4">
        <v>110</v>
      </c>
    </row>
    <row r="670" spans="1:18">
      <c r="A670" s="4" t="s">
        <v>1442</v>
      </c>
      <c r="B670" s="4" t="s">
        <v>1434</v>
      </c>
      <c r="C670" s="4" t="s">
        <v>191</v>
      </c>
      <c r="D670" s="27">
        <v>45254</v>
      </c>
      <c r="E670" s="4" t="s">
        <v>29</v>
      </c>
      <c r="F670" s="4" t="s">
        <v>21</v>
      </c>
      <c r="G670" s="4" t="s">
        <v>1443</v>
      </c>
      <c r="H670" s="4" t="s">
        <v>23</v>
      </c>
      <c r="I670" s="4">
        <v>10</v>
      </c>
      <c r="J670" s="4" t="s">
        <v>86</v>
      </c>
      <c r="K670" s="4">
        <v>130</v>
      </c>
      <c r="L670" s="4">
        <v>4</v>
      </c>
      <c r="M670" s="4" t="s">
        <v>25</v>
      </c>
      <c r="N670" s="28">
        <f ca="1" t="shared" si="2"/>
        <v>0.847831536537857</v>
      </c>
      <c r="O670" s="4" t="s">
        <v>47</v>
      </c>
      <c r="P670" s="4">
        <v>520</v>
      </c>
      <c r="Q670" s="4">
        <v>14</v>
      </c>
      <c r="R670" s="4">
        <v>59</v>
      </c>
    </row>
    <row r="671" spans="1:18">
      <c r="A671" s="4" t="s">
        <v>1444</v>
      </c>
      <c r="B671" s="4" t="s">
        <v>1436</v>
      </c>
      <c r="C671" s="4" t="s">
        <v>194</v>
      </c>
      <c r="D671" s="27">
        <v>45250</v>
      </c>
      <c r="E671" s="4" t="s">
        <v>20</v>
      </c>
      <c r="F671" s="4" t="s">
        <v>21</v>
      </c>
      <c r="G671" s="4" t="s">
        <v>1445</v>
      </c>
      <c r="H671" s="4" t="s">
        <v>31</v>
      </c>
      <c r="I671" s="4">
        <v>7</v>
      </c>
      <c r="J671" s="4" t="s">
        <v>120</v>
      </c>
      <c r="K671" s="4">
        <v>72</v>
      </c>
      <c r="L671" s="4">
        <v>10</v>
      </c>
      <c r="M671" s="4" t="s">
        <v>25</v>
      </c>
      <c r="N671" s="28">
        <f ca="1" t="shared" si="2"/>
        <v>0.801262281329487</v>
      </c>
      <c r="O671" s="4" t="s">
        <v>26</v>
      </c>
      <c r="P671" s="4">
        <v>720</v>
      </c>
      <c r="Q671" s="4">
        <v>89</v>
      </c>
      <c r="R671" s="4">
        <v>27</v>
      </c>
    </row>
    <row r="672" spans="1:18">
      <c r="A672" s="4" t="s">
        <v>1446</v>
      </c>
      <c r="B672" s="4" t="s">
        <v>1438</v>
      </c>
      <c r="C672" s="4" t="s">
        <v>197</v>
      </c>
      <c r="D672" s="27">
        <v>45254</v>
      </c>
      <c r="E672" s="4" t="s">
        <v>29</v>
      </c>
      <c r="F672" s="4" t="s">
        <v>21</v>
      </c>
      <c r="G672" s="4" t="s">
        <v>1447</v>
      </c>
      <c r="H672" s="4" t="s">
        <v>40</v>
      </c>
      <c r="I672" s="4">
        <v>10</v>
      </c>
      <c r="J672" s="4" t="s">
        <v>86</v>
      </c>
      <c r="K672" s="4">
        <v>65</v>
      </c>
      <c r="L672" s="4">
        <v>8</v>
      </c>
      <c r="M672" s="4" t="s">
        <v>25</v>
      </c>
      <c r="N672" s="28">
        <f ca="1" t="shared" si="2"/>
        <v>0.729923148208629</v>
      </c>
      <c r="O672" s="4" t="s">
        <v>34</v>
      </c>
      <c r="P672" s="4">
        <v>520</v>
      </c>
      <c r="Q672" s="4">
        <v>252</v>
      </c>
      <c r="R672" s="4">
        <v>34</v>
      </c>
    </row>
    <row r="673" spans="1:18">
      <c r="A673" s="4" t="s">
        <v>1448</v>
      </c>
      <c r="B673" s="4" t="s">
        <v>1440</v>
      </c>
      <c r="C673" s="4" t="s">
        <v>200</v>
      </c>
      <c r="D673" s="27">
        <v>45255</v>
      </c>
      <c r="E673" s="4" t="s">
        <v>29</v>
      </c>
      <c r="F673" s="4" t="s">
        <v>21</v>
      </c>
      <c r="G673" s="4" t="s">
        <v>1449</v>
      </c>
      <c r="H673" s="4" t="s">
        <v>23</v>
      </c>
      <c r="I673" s="4">
        <v>9</v>
      </c>
      <c r="J673" s="4" t="s">
        <v>120</v>
      </c>
      <c r="K673" s="4">
        <v>250</v>
      </c>
      <c r="L673" s="4">
        <v>2</v>
      </c>
      <c r="M673" s="4" t="s">
        <v>25</v>
      </c>
      <c r="N673" s="28">
        <f ca="1" t="shared" si="2"/>
        <v>0.476859737772186</v>
      </c>
      <c r="O673" s="4" t="s">
        <v>42</v>
      </c>
      <c r="P673" s="4">
        <v>500</v>
      </c>
      <c r="Q673" s="4">
        <v>204</v>
      </c>
      <c r="R673" s="4">
        <v>150</v>
      </c>
    </row>
    <row r="674" spans="1:18">
      <c r="A674" s="4" t="s">
        <v>1450</v>
      </c>
      <c r="B674" s="4" t="s">
        <v>1442</v>
      </c>
      <c r="C674" s="4" t="s">
        <v>203</v>
      </c>
      <c r="D674" s="27">
        <v>45259</v>
      </c>
      <c r="E674" s="4" t="s">
        <v>20</v>
      </c>
      <c r="F674" s="4" t="s">
        <v>38</v>
      </c>
      <c r="G674" s="4" t="s">
        <v>1451</v>
      </c>
      <c r="H674" s="4" t="s">
        <v>31</v>
      </c>
      <c r="I674" s="4">
        <v>10</v>
      </c>
      <c r="J674" s="4" t="s">
        <v>86</v>
      </c>
      <c r="K674" s="4">
        <v>130</v>
      </c>
      <c r="L674" s="4">
        <v>2</v>
      </c>
      <c r="M674" s="4" t="s">
        <v>25</v>
      </c>
      <c r="N674" s="28">
        <f ca="1" t="shared" si="2"/>
        <v>0.210982210779891</v>
      </c>
      <c r="O674" s="4" t="s">
        <v>47</v>
      </c>
      <c r="P674" s="4">
        <v>260</v>
      </c>
      <c r="Q674" s="4">
        <v>24</v>
      </c>
      <c r="R674" s="4">
        <v>64</v>
      </c>
    </row>
    <row r="675" spans="1:18">
      <c r="A675" s="4" t="s">
        <v>1452</v>
      </c>
      <c r="B675" s="4" t="s">
        <v>1444</v>
      </c>
      <c r="C675" s="4" t="s">
        <v>28</v>
      </c>
      <c r="D675" s="27">
        <v>45231</v>
      </c>
      <c r="E675" s="4" t="s">
        <v>29</v>
      </c>
      <c r="F675" s="4" t="s">
        <v>21</v>
      </c>
      <c r="G675" s="4" t="s">
        <v>1453</v>
      </c>
      <c r="H675" s="4" t="s">
        <v>40</v>
      </c>
      <c r="I675" s="4">
        <v>8</v>
      </c>
      <c r="J675" s="4" t="s">
        <v>120</v>
      </c>
      <c r="K675" s="4">
        <v>60</v>
      </c>
      <c r="L675" s="4">
        <v>14</v>
      </c>
      <c r="M675" s="4" t="s">
        <v>33</v>
      </c>
      <c r="N675" s="28">
        <f ca="1" t="shared" si="2"/>
        <v>0.16276243888001</v>
      </c>
      <c r="O675" s="4" t="s">
        <v>68</v>
      </c>
      <c r="P675" s="4">
        <v>840</v>
      </c>
      <c r="Q675" s="4">
        <v>352</v>
      </c>
      <c r="R675" s="4">
        <v>28</v>
      </c>
    </row>
    <row r="676" spans="1:18">
      <c r="A676" s="4" t="s">
        <v>1454</v>
      </c>
      <c r="B676" s="4" t="s">
        <v>1446</v>
      </c>
      <c r="C676" s="4" t="s">
        <v>36</v>
      </c>
      <c r="D676" s="27">
        <v>45251</v>
      </c>
      <c r="E676" s="4" t="s">
        <v>20</v>
      </c>
      <c r="F676" s="4" t="s">
        <v>21</v>
      </c>
      <c r="G676" s="4" t="s">
        <v>1455</v>
      </c>
      <c r="H676" s="4" t="s">
        <v>23</v>
      </c>
      <c r="I676" s="4">
        <v>9</v>
      </c>
      <c r="J676" s="4" t="s">
        <v>86</v>
      </c>
      <c r="K676" s="4">
        <v>95</v>
      </c>
      <c r="L676" s="4">
        <v>3</v>
      </c>
      <c r="M676" s="4" t="s">
        <v>25</v>
      </c>
      <c r="N676" s="28">
        <f ca="1" t="shared" si="2"/>
        <v>0.125092019090662</v>
      </c>
      <c r="O676" s="4" t="s">
        <v>104</v>
      </c>
      <c r="P676" s="4">
        <v>285</v>
      </c>
      <c r="Q676" s="4">
        <v>180</v>
      </c>
      <c r="R676" s="4">
        <v>57</v>
      </c>
    </row>
    <row r="677" spans="1:18">
      <c r="A677" s="4" t="s">
        <v>1456</v>
      </c>
      <c r="B677" s="4" t="s">
        <v>1448</v>
      </c>
      <c r="C677" s="4" t="s">
        <v>44</v>
      </c>
      <c r="D677" s="27">
        <v>45252</v>
      </c>
      <c r="E677" s="4" t="s">
        <v>29</v>
      </c>
      <c r="F677" s="4" t="s">
        <v>21</v>
      </c>
      <c r="G677" s="4" t="s">
        <v>1457</v>
      </c>
      <c r="H677" s="4" t="s">
        <v>31</v>
      </c>
      <c r="I677" s="4">
        <v>9</v>
      </c>
      <c r="J677" s="4" t="s">
        <v>120</v>
      </c>
      <c r="K677" s="4">
        <v>72</v>
      </c>
      <c r="L677" s="4">
        <v>6</v>
      </c>
      <c r="M677" s="4" t="s">
        <v>25</v>
      </c>
      <c r="N677" s="28">
        <f ca="1" t="shared" si="2"/>
        <v>0.0275008235760064</v>
      </c>
      <c r="O677" s="4" t="s">
        <v>26</v>
      </c>
      <c r="P677" s="4">
        <v>432</v>
      </c>
      <c r="Q677" s="4">
        <v>285</v>
      </c>
      <c r="R677" s="4">
        <v>22</v>
      </c>
    </row>
    <row r="678" spans="1:18">
      <c r="A678" s="4" t="s">
        <v>1458</v>
      </c>
      <c r="B678" s="4" t="s">
        <v>1450</v>
      </c>
      <c r="C678" s="4" t="s">
        <v>49</v>
      </c>
      <c r="D678" s="27">
        <v>45231</v>
      </c>
      <c r="E678" s="4" t="s">
        <v>20</v>
      </c>
      <c r="F678" s="4" t="s">
        <v>21</v>
      </c>
      <c r="G678" s="4" t="s">
        <v>1459</v>
      </c>
      <c r="H678" s="4" t="s">
        <v>40</v>
      </c>
      <c r="I678" s="4">
        <v>8</v>
      </c>
      <c r="J678" s="4" t="s">
        <v>86</v>
      </c>
      <c r="K678" s="4">
        <v>65</v>
      </c>
      <c r="L678" s="4">
        <v>12</v>
      </c>
      <c r="M678" s="4" t="s">
        <v>25</v>
      </c>
      <c r="N678" s="28">
        <f ca="1" t="shared" si="2"/>
        <v>0.963702701157929</v>
      </c>
      <c r="O678" s="4" t="s">
        <v>34</v>
      </c>
      <c r="P678" s="4">
        <v>780</v>
      </c>
      <c r="Q678" s="4">
        <v>597</v>
      </c>
      <c r="R678" s="4">
        <v>23</v>
      </c>
    </row>
    <row r="679" spans="1:18">
      <c r="A679" s="4" t="s">
        <v>1460</v>
      </c>
      <c r="B679" s="4" t="s">
        <v>1452</v>
      </c>
      <c r="C679" s="4" t="s">
        <v>53</v>
      </c>
      <c r="D679" s="27">
        <v>45259</v>
      </c>
      <c r="E679" s="4" t="s">
        <v>29</v>
      </c>
      <c r="F679" s="4" t="s">
        <v>21</v>
      </c>
      <c r="G679" s="4" t="s">
        <v>1461</v>
      </c>
      <c r="H679" s="4" t="s">
        <v>23</v>
      </c>
      <c r="I679" s="4">
        <v>7</v>
      </c>
      <c r="J679" s="4" t="s">
        <v>120</v>
      </c>
      <c r="K679" s="4">
        <v>250</v>
      </c>
      <c r="L679" s="4">
        <v>2</v>
      </c>
      <c r="M679" s="4" t="s">
        <v>33</v>
      </c>
      <c r="N679" s="28">
        <f ca="1" t="shared" si="2"/>
        <v>0.159929120669194</v>
      </c>
      <c r="O679" s="4" t="s">
        <v>42</v>
      </c>
      <c r="P679" s="4">
        <v>500</v>
      </c>
      <c r="Q679" s="4">
        <v>145</v>
      </c>
      <c r="R679" s="4">
        <v>68</v>
      </c>
    </row>
    <row r="680" spans="1:18">
      <c r="A680" s="4" t="s">
        <v>1462</v>
      </c>
      <c r="B680" s="4" t="s">
        <v>1454</v>
      </c>
      <c r="C680" s="4" t="s">
        <v>61</v>
      </c>
      <c r="D680" s="27">
        <v>45231</v>
      </c>
      <c r="E680" s="4" t="s">
        <v>37</v>
      </c>
      <c r="F680" s="4" t="s">
        <v>38</v>
      </c>
      <c r="G680" s="4" t="s">
        <v>1463</v>
      </c>
      <c r="H680" s="4" t="s">
        <v>31</v>
      </c>
      <c r="I680" s="4">
        <v>10</v>
      </c>
      <c r="J680" s="4" t="s">
        <v>86</v>
      </c>
      <c r="K680" s="4">
        <v>130</v>
      </c>
      <c r="L680" s="4">
        <v>2</v>
      </c>
      <c r="M680" s="4" t="s">
        <v>33</v>
      </c>
      <c r="N680" s="28">
        <f ca="1" t="shared" si="2"/>
        <v>0.581832449072851</v>
      </c>
      <c r="O680" s="4" t="s">
        <v>47</v>
      </c>
      <c r="P680" s="4">
        <v>260</v>
      </c>
      <c r="Q680" s="4">
        <v>65</v>
      </c>
      <c r="R680" s="4">
        <v>66</v>
      </c>
    </row>
    <row r="681" spans="1:18">
      <c r="A681" s="4" t="s">
        <v>1464</v>
      </c>
      <c r="B681" s="4" t="s">
        <v>1456</v>
      </c>
      <c r="C681" s="4" t="s">
        <v>61</v>
      </c>
      <c r="D681" s="27">
        <v>45257</v>
      </c>
      <c r="E681" s="4" t="s">
        <v>20</v>
      </c>
      <c r="F681" s="4" t="s">
        <v>21</v>
      </c>
      <c r="G681" s="4" t="s">
        <v>1465</v>
      </c>
      <c r="H681" s="4" t="s">
        <v>40</v>
      </c>
      <c r="I681" s="4">
        <v>8</v>
      </c>
      <c r="J681" s="4" t="s">
        <v>120</v>
      </c>
      <c r="K681" s="4">
        <v>72</v>
      </c>
      <c r="L681" s="4">
        <v>8</v>
      </c>
      <c r="M681" s="4" t="s">
        <v>33</v>
      </c>
      <c r="N681" s="28">
        <f ca="1" t="shared" si="2"/>
        <v>0.580988374216741</v>
      </c>
      <c r="O681" s="4" t="s">
        <v>26</v>
      </c>
      <c r="P681" s="4">
        <v>576</v>
      </c>
      <c r="Q681" s="4">
        <v>325</v>
      </c>
      <c r="R681" s="4">
        <v>42</v>
      </c>
    </row>
    <row r="682" spans="1:18">
      <c r="A682" s="4" t="s">
        <v>1466</v>
      </c>
      <c r="B682" s="4" t="s">
        <v>1458</v>
      </c>
      <c r="C682" s="4" t="s">
        <v>65</v>
      </c>
      <c r="D682" s="27">
        <v>45252</v>
      </c>
      <c r="E682" s="4" t="s">
        <v>29</v>
      </c>
      <c r="F682" s="4" t="s">
        <v>21</v>
      </c>
      <c r="G682" s="4" t="s">
        <v>1467</v>
      </c>
      <c r="H682" s="4" t="s">
        <v>23</v>
      </c>
      <c r="I682" s="4">
        <v>10</v>
      </c>
      <c r="J682" s="4" t="s">
        <v>86</v>
      </c>
      <c r="K682" s="4">
        <v>65</v>
      </c>
      <c r="L682" s="4">
        <v>10</v>
      </c>
      <c r="M682" s="4" t="s">
        <v>33</v>
      </c>
      <c r="N682" s="28">
        <f ca="1" t="shared" si="2"/>
        <v>0.139103779542428</v>
      </c>
      <c r="O682" s="4" t="s">
        <v>34</v>
      </c>
      <c r="P682" s="4">
        <v>650</v>
      </c>
      <c r="Q682" s="4">
        <v>511</v>
      </c>
      <c r="R682" s="4">
        <v>22</v>
      </c>
    </row>
    <row r="683" spans="1:18">
      <c r="A683" s="4" t="s">
        <v>1468</v>
      </c>
      <c r="B683" s="4" t="s">
        <v>1460</v>
      </c>
      <c r="C683" s="4" t="s">
        <v>222</v>
      </c>
      <c r="D683" s="27">
        <v>45232</v>
      </c>
      <c r="E683" s="4" t="s">
        <v>29</v>
      </c>
      <c r="F683" s="4" t="s">
        <v>21</v>
      </c>
      <c r="G683" s="4" t="s">
        <v>1469</v>
      </c>
      <c r="H683" s="4" t="s">
        <v>31</v>
      </c>
      <c r="I683" s="4">
        <v>7</v>
      </c>
      <c r="J683" s="4" t="s">
        <v>120</v>
      </c>
      <c r="K683" s="4">
        <v>250</v>
      </c>
      <c r="L683" s="4">
        <v>3</v>
      </c>
      <c r="M683" s="4" t="s">
        <v>33</v>
      </c>
      <c r="N683" s="28">
        <f ca="1" t="shared" si="2"/>
        <v>0.737964086818571</v>
      </c>
      <c r="O683" s="4" t="s">
        <v>42</v>
      </c>
      <c r="P683" s="4">
        <v>750</v>
      </c>
      <c r="Q683" s="4">
        <v>197</v>
      </c>
      <c r="R683" s="4">
        <v>75</v>
      </c>
    </row>
    <row r="684" spans="1:18">
      <c r="A684" s="4" t="s">
        <v>1470</v>
      </c>
      <c r="B684" s="4" t="s">
        <v>1462</v>
      </c>
      <c r="C684" s="4" t="s">
        <v>73</v>
      </c>
      <c r="D684" s="27">
        <v>45248</v>
      </c>
      <c r="E684" s="4" t="s">
        <v>20</v>
      </c>
      <c r="F684" s="4" t="s">
        <v>21</v>
      </c>
      <c r="G684" s="4" t="s">
        <v>1471</v>
      </c>
      <c r="H684" s="4" t="s">
        <v>40</v>
      </c>
      <c r="I684" s="4">
        <v>7</v>
      </c>
      <c r="J684" s="4" t="s">
        <v>86</v>
      </c>
      <c r="K684" s="4">
        <v>130</v>
      </c>
      <c r="L684" s="4">
        <v>7</v>
      </c>
      <c r="M684" s="4" t="s">
        <v>33</v>
      </c>
      <c r="N684" s="28">
        <f ca="1" t="shared" si="2"/>
        <v>0.413130300260147</v>
      </c>
      <c r="O684" s="4" t="s">
        <v>47</v>
      </c>
      <c r="P684" s="4">
        <v>910</v>
      </c>
      <c r="Q684" s="4">
        <v>816</v>
      </c>
      <c r="R684" s="4">
        <v>77</v>
      </c>
    </row>
    <row r="685" spans="1:18">
      <c r="A685" s="4" t="s">
        <v>1472</v>
      </c>
      <c r="B685" s="4" t="s">
        <v>1464</v>
      </c>
      <c r="C685" s="4" t="s">
        <v>77</v>
      </c>
      <c r="D685" s="27">
        <v>45246</v>
      </c>
      <c r="E685" s="4" t="s">
        <v>29</v>
      </c>
      <c r="F685" s="4" t="s">
        <v>21</v>
      </c>
      <c r="G685" s="4" t="s">
        <v>1473</v>
      </c>
      <c r="H685" s="4" t="s">
        <v>23</v>
      </c>
      <c r="I685" s="4">
        <v>10</v>
      </c>
      <c r="J685" s="4" t="s">
        <v>120</v>
      </c>
      <c r="K685" s="4">
        <v>72</v>
      </c>
      <c r="L685" s="4">
        <v>10</v>
      </c>
      <c r="M685" s="4" t="s">
        <v>25</v>
      </c>
      <c r="N685" s="28">
        <f ca="1" t="shared" si="2"/>
        <v>0.914154684512722</v>
      </c>
      <c r="O685" s="4" t="s">
        <v>26</v>
      </c>
      <c r="P685" s="4">
        <v>720</v>
      </c>
      <c r="Q685" s="4">
        <v>198</v>
      </c>
      <c r="R685" s="4">
        <v>18</v>
      </c>
    </row>
    <row r="686" spans="1:18">
      <c r="A686" s="4" t="s">
        <v>1474</v>
      </c>
      <c r="B686" s="4" t="s">
        <v>1466</v>
      </c>
      <c r="C686" s="4" t="s">
        <v>229</v>
      </c>
      <c r="D686" s="27">
        <v>45259</v>
      </c>
      <c r="E686" s="4" t="s">
        <v>20</v>
      </c>
      <c r="F686" s="4" t="s">
        <v>21</v>
      </c>
      <c r="G686" s="4" t="s">
        <v>1475</v>
      </c>
      <c r="H686" s="4" t="s">
        <v>31</v>
      </c>
      <c r="I686" s="4">
        <v>9</v>
      </c>
      <c r="J686" s="4" t="s">
        <v>86</v>
      </c>
      <c r="K686" s="4">
        <v>65</v>
      </c>
      <c r="L686" s="4">
        <v>13</v>
      </c>
      <c r="M686" s="4" t="s">
        <v>33</v>
      </c>
      <c r="N686" s="28">
        <f ca="1" t="shared" si="2"/>
        <v>0.269365293219573</v>
      </c>
      <c r="O686" s="4" t="s">
        <v>34</v>
      </c>
      <c r="P686" s="4">
        <v>845</v>
      </c>
      <c r="Q686" s="4">
        <v>569</v>
      </c>
      <c r="R686" s="4">
        <v>33</v>
      </c>
    </row>
    <row r="687" spans="1:18">
      <c r="A687" s="4" t="s">
        <v>1476</v>
      </c>
      <c r="B687" s="4" t="s">
        <v>1468</v>
      </c>
      <c r="C687" s="4" t="s">
        <v>84</v>
      </c>
      <c r="D687" s="27">
        <v>45246</v>
      </c>
      <c r="E687" s="4" t="s">
        <v>29</v>
      </c>
      <c r="F687" s="4" t="s">
        <v>21</v>
      </c>
      <c r="G687" s="4" t="s">
        <v>1477</v>
      </c>
      <c r="H687" s="4" t="s">
        <v>40</v>
      </c>
      <c r="I687" s="4">
        <v>9</v>
      </c>
      <c r="J687" s="4" t="s">
        <v>120</v>
      </c>
      <c r="K687" s="4">
        <v>250</v>
      </c>
      <c r="L687" s="4">
        <v>1</v>
      </c>
      <c r="M687" s="4" t="s">
        <v>25</v>
      </c>
      <c r="N687" s="28">
        <f ca="1" t="shared" si="2"/>
        <v>0.5620677570089</v>
      </c>
      <c r="O687" s="4" t="s">
        <v>42</v>
      </c>
      <c r="P687" s="4">
        <v>250</v>
      </c>
      <c r="Q687" s="4">
        <v>138</v>
      </c>
      <c r="R687" s="4">
        <v>73</v>
      </c>
    </row>
    <row r="688" spans="1:18">
      <c r="A688" s="4" t="s">
        <v>1478</v>
      </c>
      <c r="B688" s="4" t="s">
        <v>1470</v>
      </c>
      <c r="C688" s="4" t="s">
        <v>200</v>
      </c>
      <c r="D688" s="27">
        <v>45245</v>
      </c>
      <c r="E688" s="4" t="s">
        <v>29</v>
      </c>
      <c r="F688" s="4" t="s">
        <v>21</v>
      </c>
      <c r="G688" s="4" t="s">
        <v>1479</v>
      </c>
      <c r="H688" s="4" t="s">
        <v>23</v>
      </c>
      <c r="I688" s="4">
        <v>7</v>
      </c>
      <c r="J688" s="4" t="s">
        <v>86</v>
      </c>
      <c r="K688" s="4">
        <v>130</v>
      </c>
      <c r="L688" s="4">
        <v>2</v>
      </c>
      <c r="M688" s="4" t="s">
        <v>33</v>
      </c>
      <c r="N688" s="28">
        <f ca="1" t="shared" si="2"/>
        <v>0.968562805016077</v>
      </c>
      <c r="O688" s="4" t="s">
        <v>47</v>
      </c>
      <c r="P688" s="4">
        <v>260</v>
      </c>
      <c r="Q688" s="4">
        <v>5</v>
      </c>
      <c r="R688" s="4">
        <v>70</v>
      </c>
    </row>
    <row r="689" spans="1:18">
      <c r="A689" s="4" t="s">
        <v>1480</v>
      </c>
      <c r="B689" s="4" t="s">
        <v>1472</v>
      </c>
      <c r="C689" s="4" t="s">
        <v>203</v>
      </c>
      <c r="D689" s="27">
        <v>45242</v>
      </c>
      <c r="E689" s="4" t="s">
        <v>20</v>
      </c>
      <c r="F689" s="4" t="s">
        <v>21</v>
      </c>
      <c r="G689" s="4" t="s">
        <v>1481</v>
      </c>
      <c r="H689" s="4" t="s">
        <v>31</v>
      </c>
      <c r="I689" s="4">
        <v>10</v>
      </c>
      <c r="J689" s="4" t="s">
        <v>24</v>
      </c>
      <c r="K689" s="4">
        <v>72</v>
      </c>
      <c r="L689" s="4">
        <v>10</v>
      </c>
      <c r="M689" s="4" t="s">
        <v>25</v>
      </c>
      <c r="N689" s="28">
        <f ca="1" t="shared" si="2"/>
        <v>0.2700565546495</v>
      </c>
      <c r="O689" s="4" t="s">
        <v>26</v>
      </c>
      <c r="P689" s="4">
        <v>720</v>
      </c>
      <c r="Q689" s="4">
        <v>522</v>
      </c>
      <c r="R689" s="4">
        <v>41</v>
      </c>
    </row>
    <row r="690" spans="1:18">
      <c r="A690" s="4" t="s">
        <v>1482</v>
      </c>
      <c r="B690" s="4" t="s">
        <v>1474</v>
      </c>
      <c r="C690" s="4" t="s">
        <v>28</v>
      </c>
      <c r="D690" s="27">
        <v>45245</v>
      </c>
      <c r="E690" s="4" t="s">
        <v>29</v>
      </c>
      <c r="F690" s="4" t="s">
        <v>21</v>
      </c>
      <c r="G690" s="4" t="s">
        <v>1483</v>
      </c>
      <c r="H690" s="4" t="s">
        <v>40</v>
      </c>
      <c r="I690" s="4">
        <v>7</v>
      </c>
      <c r="J690" s="4" t="s">
        <v>32</v>
      </c>
      <c r="K690" s="4">
        <v>65</v>
      </c>
      <c r="L690" s="4">
        <v>4</v>
      </c>
      <c r="M690" s="4" t="s">
        <v>33</v>
      </c>
      <c r="N690" s="28">
        <f ca="1" t="shared" si="2"/>
        <v>0.54132293674267</v>
      </c>
      <c r="O690" s="4" t="s">
        <v>34</v>
      </c>
      <c r="P690" s="4">
        <v>260</v>
      </c>
      <c r="Q690" s="4">
        <v>234</v>
      </c>
      <c r="R690" s="4">
        <v>25</v>
      </c>
    </row>
    <row r="691" spans="1:18">
      <c r="A691" s="4" t="s">
        <v>1484</v>
      </c>
      <c r="B691" s="4" t="s">
        <v>1476</v>
      </c>
      <c r="C691" s="4" t="s">
        <v>36</v>
      </c>
      <c r="D691" s="27">
        <v>45249</v>
      </c>
      <c r="E691" s="4" t="s">
        <v>29</v>
      </c>
      <c r="F691" s="4" t="s">
        <v>21</v>
      </c>
      <c r="G691" s="4" t="s">
        <v>1485</v>
      </c>
      <c r="H691" s="4" t="s">
        <v>23</v>
      </c>
      <c r="I691" s="4">
        <v>7</v>
      </c>
      <c r="J691" s="4" t="s">
        <v>86</v>
      </c>
      <c r="K691" s="4">
        <v>250</v>
      </c>
      <c r="L691" s="4">
        <v>3</v>
      </c>
      <c r="M691" s="4" t="s">
        <v>25</v>
      </c>
      <c r="N691" s="28">
        <f ca="1" t="shared" si="2"/>
        <v>0.556777254902083</v>
      </c>
      <c r="O691" s="4" t="s">
        <v>42</v>
      </c>
      <c r="P691" s="4">
        <v>750</v>
      </c>
      <c r="Q691" s="4">
        <v>23</v>
      </c>
      <c r="R691" s="4">
        <v>128</v>
      </c>
    </row>
    <row r="692" spans="1:18">
      <c r="A692" s="4" t="s">
        <v>1486</v>
      </c>
      <c r="B692" s="4" t="s">
        <v>1478</v>
      </c>
      <c r="C692" s="4" t="s">
        <v>44</v>
      </c>
      <c r="D692" s="27">
        <v>45249</v>
      </c>
      <c r="E692" s="4" t="s">
        <v>20</v>
      </c>
      <c r="F692" s="4" t="s">
        <v>21</v>
      </c>
      <c r="G692" s="4" t="s">
        <v>1487</v>
      </c>
      <c r="H692" s="4" t="s">
        <v>31</v>
      </c>
      <c r="I692" s="4">
        <v>8</v>
      </c>
      <c r="J692" s="4" t="s">
        <v>89</v>
      </c>
      <c r="K692" s="4">
        <v>130</v>
      </c>
      <c r="L692" s="4">
        <v>4</v>
      </c>
      <c r="M692" s="4" t="s">
        <v>33</v>
      </c>
      <c r="N692" s="28">
        <f ca="1" t="shared" si="2"/>
        <v>0.942559812110209</v>
      </c>
      <c r="O692" s="4" t="s">
        <v>47</v>
      </c>
      <c r="P692" s="4">
        <v>520</v>
      </c>
      <c r="Q692" s="4">
        <v>45</v>
      </c>
      <c r="R692" s="4">
        <v>35</v>
      </c>
    </row>
    <row r="693" spans="1:18">
      <c r="A693" s="4" t="s">
        <v>1488</v>
      </c>
      <c r="B693" s="4" t="s">
        <v>1480</v>
      </c>
      <c r="C693" s="4" t="s">
        <v>49</v>
      </c>
      <c r="D693" s="27">
        <v>45237</v>
      </c>
      <c r="E693" s="4" t="s">
        <v>29</v>
      </c>
      <c r="F693" s="4" t="s">
        <v>21</v>
      </c>
      <c r="G693" s="4" t="s">
        <v>1489</v>
      </c>
      <c r="H693" s="4" t="s">
        <v>40</v>
      </c>
      <c r="I693" s="4">
        <v>7</v>
      </c>
      <c r="J693" s="4" t="s">
        <v>93</v>
      </c>
      <c r="K693" s="4">
        <v>60</v>
      </c>
      <c r="L693" s="4">
        <v>13</v>
      </c>
      <c r="M693" s="4" t="s">
        <v>25</v>
      </c>
      <c r="N693" s="28">
        <f ca="1" t="shared" si="2"/>
        <v>0.814228587065131</v>
      </c>
      <c r="O693" s="4" t="s">
        <v>68</v>
      </c>
      <c r="P693" s="4">
        <v>780</v>
      </c>
      <c r="Q693" s="4">
        <v>124</v>
      </c>
      <c r="R693" s="4">
        <v>19</v>
      </c>
    </row>
    <row r="694" spans="1:18">
      <c r="A694" s="4" t="s">
        <v>1490</v>
      </c>
      <c r="B694" s="4" t="s">
        <v>1482</v>
      </c>
      <c r="C694" s="4" t="s">
        <v>53</v>
      </c>
      <c r="D694" s="27">
        <v>45260</v>
      </c>
      <c r="E694" s="4" t="s">
        <v>20</v>
      </c>
      <c r="F694" s="4" t="s">
        <v>21</v>
      </c>
      <c r="G694" s="4" t="s">
        <v>1491</v>
      </c>
      <c r="H694" s="4" t="s">
        <v>23</v>
      </c>
      <c r="I694" s="4">
        <v>10</v>
      </c>
      <c r="J694" s="4" t="s">
        <v>96</v>
      </c>
      <c r="K694" s="4">
        <v>72</v>
      </c>
      <c r="L694" s="4">
        <v>3</v>
      </c>
      <c r="M694" s="4" t="s">
        <v>33</v>
      </c>
      <c r="N694" s="28">
        <f ca="1" t="shared" ref="N694:N757" si="3" xml:space="preserve">RAND()</f>
        <v>0.574469826015866</v>
      </c>
      <c r="O694" s="4" t="s">
        <v>26</v>
      </c>
      <c r="P694" s="4">
        <v>216</v>
      </c>
      <c r="Q694" s="4">
        <v>19</v>
      </c>
      <c r="R694" s="4">
        <v>24</v>
      </c>
    </row>
    <row r="695" spans="1:18">
      <c r="A695" s="4" t="s">
        <v>1492</v>
      </c>
      <c r="B695" s="4" t="s">
        <v>1484</v>
      </c>
      <c r="C695" s="4" t="s">
        <v>61</v>
      </c>
      <c r="D695" s="27">
        <v>45242</v>
      </c>
      <c r="E695" s="4" t="s">
        <v>29</v>
      </c>
      <c r="F695" s="4" t="s">
        <v>21</v>
      </c>
      <c r="G695" s="4" t="s">
        <v>1493</v>
      </c>
      <c r="H695" s="4" t="s">
        <v>31</v>
      </c>
      <c r="I695" s="4">
        <v>7</v>
      </c>
      <c r="J695" s="4" t="s">
        <v>58</v>
      </c>
      <c r="K695" s="4">
        <v>65</v>
      </c>
      <c r="L695" s="4">
        <v>9</v>
      </c>
      <c r="M695" s="4" t="s">
        <v>25</v>
      </c>
      <c r="N695" s="28">
        <f ca="1" t="shared" si="3"/>
        <v>0.776330602764105</v>
      </c>
      <c r="O695" s="4" t="s">
        <v>34</v>
      </c>
      <c r="P695" s="4">
        <v>585</v>
      </c>
      <c r="Q695" s="4">
        <v>110</v>
      </c>
      <c r="R695" s="4">
        <v>39</v>
      </c>
    </row>
    <row r="696" spans="1:18">
      <c r="A696" s="4" t="s">
        <v>1494</v>
      </c>
      <c r="B696" s="4" t="s">
        <v>1486</v>
      </c>
      <c r="C696" s="4" t="s">
        <v>61</v>
      </c>
      <c r="D696" s="27">
        <v>45259</v>
      </c>
      <c r="E696" s="4" t="s">
        <v>20</v>
      </c>
      <c r="F696" s="4" t="s">
        <v>21</v>
      </c>
      <c r="G696" s="4" t="s">
        <v>1495</v>
      </c>
      <c r="H696" s="4" t="s">
        <v>40</v>
      </c>
      <c r="I696" s="4">
        <v>10</v>
      </c>
      <c r="J696" s="4" t="s">
        <v>63</v>
      </c>
      <c r="K696" s="4">
        <v>250</v>
      </c>
      <c r="L696" s="4">
        <v>3</v>
      </c>
      <c r="M696" s="4" t="s">
        <v>33</v>
      </c>
      <c r="N696" s="28">
        <f ca="1" t="shared" si="3"/>
        <v>0.868735336780125</v>
      </c>
      <c r="O696" s="4" t="s">
        <v>42</v>
      </c>
      <c r="P696" s="4">
        <v>750</v>
      </c>
      <c r="Q696" s="4">
        <v>486</v>
      </c>
      <c r="R696" s="4">
        <v>135</v>
      </c>
    </row>
    <row r="697" spans="1:18">
      <c r="A697" s="4" t="s">
        <v>1496</v>
      </c>
      <c r="B697" s="4" t="s">
        <v>1488</v>
      </c>
      <c r="C697" s="4" t="s">
        <v>65</v>
      </c>
      <c r="D697" s="27">
        <v>45259</v>
      </c>
      <c r="E697" s="4" t="s">
        <v>29</v>
      </c>
      <c r="F697" s="4" t="s">
        <v>21</v>
      </c>
      <c r="G697" s="4" t="s">
        <v>1497</v>
      </c>
      <c r="H697" s="4" t="s">
        <v>23</v>
      </c>
      <c r="I697" s="4">
        <v>7</v>
      </c>
      <c r="J697" s="4" t="s">
        <v>67</v>
      </c>
      <c r="K697" s="4">
        <v>130</v>
      </c>
      <c r="L697" s="4">
        <v>5</v>
      </c>
      <c r="M697" s="4" t="s">
        <v>25</v>
      </c>
      <c r="N697" s="28">
        <f ca="1" t="shared" si="3"/>
        <v>0.677666890278209</v>
      </c>
      <c r="O697" s="4" t="s">
        <v>47</v>
      </c>
      <c r="P697" s="4">
        <v>650</v>
      </c>
      <c r="Q697" s="4">
        <v>143</v>
      </c>
      <c r="R697" s="4">
        <v>69</v>
      </c>
    </row>
    <row r="698" spans="1:18">
      <c r="A698" s="4" t="s">
        <v>1498</v>
      </c>
      <c r="B698" s="4" t="s">
        <v>1490</v>
      </c>
      <c r="C698" s="4" t="s">
        <v>53</v>
      </c>
      <c r="D698" s="27">
        <v>45244</v>
      </c>
      <c r="E698" s="4" t="s">
        <v>37</v>
      </c>
      <c r="F698" s="4" t="s">
        <v>21</v>
      </c>
      <c r="G698" s="4" t="s">
        <v>1499</v>
      </c>
      <c r="H698" s="4" t="s">
        <v>31</v>
      </c>
      <c r="I698" s="4">
        <v>9</v>
      </c>
      <c r="J698" s="4" t="s">
        <v>103</v>
      </c>
      <c r="K698" s="4">
        <v>72</v>
      </c>
      <c r="L698" s="4">
        <v>9</v>
      </c>
      <c r="M698" s="4" t="s">
        <v>33</v>
      </c>
      <c r="N698" s="28">
        <f ca="1" t="shared" si="3"/>
        <v>0.446248349273585</v>
      </c>
      <c r="O698" s="4" t="s">
        <v>26</v>
      </c>
      <c r="P698" s="4">
        <v>648</v>
      </c>
      <c r="Q698" s="4">
        <v>568</v>
      </c>
      <c r="R698" s="4">
        <v>19</v>
      </c>
    </row>
    <row r="699" spans="1:18">
      <c r="A699" s="4" t="s">
        <v>1500</v>
      </c>
      <c r="B699" s="4" t="s">
        <v>1492</v>
      </c>
      <c r="C699" s="4" t="s">
        <v>73</v>
      </c>
      <c r="D699" s="27">
        <v>45242</v>
      </c>
      <c r="E699" s="4" t="s">
        <v>20</v>
      </c>
      <c r="F699" s="4" t="s">
        <v>21</v>
      </c>
      <c r="G699" s="4" t="s">
        <v>1501</v>
      </c>
      <c r="H699" s="4" t="s">
        <v>40</v>
      </c>
      <c r="I699" s="4">
        <v>7</v>
      </c>
      <c r="J699" s="4" t="s">
        <v>108</v>
      </c>
      <c r="K699" s="4">
        <v>65</v>
      </c>
      <c r="L699" s="4">
        <v>7</v>
      </c>
      <c r="M699" s="4" t="s">
        <v>25</v>
      </c>
      <c r="N699" s="28">
        <f ca="1" t="shared" si="3"/>
        <v>0.07889819096636</v>
      </c>
      <c r="O699" s="4" t="s">
        <v>34</v>
      </c>
      <c r="P699" s="4">
        <v>455</v>
      </c>
      <c r="Q699" s="4">
        <v>138</v>
      </c>
      <c r="R699" s="4">
        <v>40</v>
      </c>
    </row>
    <row r="700" spans="1:18">
      <c r="A700" s="4" t="s">
        <v>1502</v>
      </c>
      <c r="B700" s="4" t="s">
        <v>1494</v>
      </c>
      <c r="C700" s="4" t="s">
        <v>77</v>
      </c>
      <c r="D700" s="27">
        <v>45250</v>
      </c>
      <c r="E700" s="4" t="s">
        <v>29</v>
      </c>
      <c r="F700" s="4" t="s">
        <v>21</v>
      </c>
      <c r="G700" s="4" t="s">
        <v>1503</v>
      </c>
      <c r="H700" s="4" t="s">
        <v>23</v>
      </c>
      <c r="I700" s="4">
        <v>8</v>
      </c>
      <c r="J700" s="4" t="s">
        <v>112</v>
      </c>
      <c r="K700" s="4">
        <v>250</v>
      </c>
      <c r="L700" s="4">
        <v>2</v>
      </c>
      <c r="M700" s="4" t="s">
        <v>33</v>
      </c>
      <c r="N700" s="28">
        <f ca="1" t="shared" si="3"/>
        <v>0.642340566556028</v>
      </c>
      <c r="O700" s="4" t="s">
        <v>42</v>
      </c>
      <c r="P700" s="4">
        <v>500</v>
      </c>
      <c r="Q700" s="4">
        <v>94</v>
      </c>
      <c r="R700" s="4">
        <v>98</v>
      </c>
    </row>
    <row r="701" spans="1:18">
      <c r="A701" s="4" t="s">
        <v>1504</v>
      </c>
      <c r="B701" s="4" t="s">
        <v>1496</v>
      </c>
      <c r="C701" s="4" t="s">
        <v>229</v>
      </c>
      <c r="D701" s="27">
        <v>45235</v>
      </c>
      <c r="E701" s="4" t="s">
        <v>29</v>
      </c>
      <c r="F701" s="4" t="s">
        <v>21</v>
      </c>
      <c r="G701" s="4" t="s">
        <v>1505</v>
      </c>
      <c r="H701" s="4" t="s">
        <v>23</v>
      </c>
      <c r="I701" s="4">
        <v>10</v>
      </c>
      <c r="J701" s="4" t="s">
        <v>116</v>
      </c>
      <c r="K701" s="4">
        <v>130</v>
      </c>
      <c r="L701" s="4">
        <v>7</v>
      </c>
      <c r="M701" s="4" t="s">
        <v>25</v>
      </c>
      <c r="N701" s="28">
        <f ca="1" t="shared" si="3"/>
        <v>0.630851539295396</v>
      </c>
      <c r="O701" s="4" t="s">
        <v>47</v>
      </c>
      <c r="P701" s="4">
        <v>910</v>
      </c>
      <c r="Q701" s="4">
        <v>269</v>
      </c>
      <c r="R701" s="4">
        <v>59</v>
      </c>
    </row>
    <row r="702" spans="1:18">
      <c r="A702" s="4" t="s">
        <v>1506</v>
      </c>
      <c r="B702" s="4" t="s">
        <v>1498</v>
      </c>
      <c r="C702" s="4" t="s">
        <v>84</v>
      </c>
      <c r="D702" s="27">
        <v>45232</v>
      </c>
      <c r="E702" s="4" t="s">
        <v>20</v>
      </c>
      <c r="F702" s="4" t="s">
        <v>38</v>
      </c>
      <c r="G702" s="4" t="s">
        <v>1507</v>
      </c>
      <c r="H702" s="4" t="s">
        <v>23</v>
      </c>
      <c r="I702" s="4">
        <v>9</v>
      </c>
      <c r="J702" s="4" t="s">
        <v>120</v>
      </c>
      <c r="K702" s="4">
        <v>60</v>
      </c>
      <c r="L702" s="4">
        <v>8</v>
      </c>
      <c r="M702" s="4" t="s">
        <v>25</v>
      </c>
      <c r="N702" s="28">
        <f ca="1" t="shared" si="3"/>
        <v>0.491231462144302</v>
      </c>
      <c r="O702" s="4" t="s">
        <v>68</v>
      </c>
      <c r="P702" s="4">
        <v>480</v>
      </c>
      <c r="Q702" s="4">
        <v>280</v>
      </c>
      <c r="R702" s="4">
        <v>17</v>
      </c>
    </row>
    <row r="703" spans="1:18">
      <c r="A703" s="4" t="s">
        <v>1508</v>
      </c>
      <c r="B703" s="4" t="s">
        <v>1500</v>
      </c>
      <c r="C703" s="4" t="s">
        <v>53</v>
      </c>
      <c r="D703" s="27">
        <v>45248</v>
      </c>
      <c r="E703" s="4" t="s">
        <v>29</v>
      </c>
      <c r="F703" s="4" t="s">
        <v>21</v>
      </c>
      <c r="G703" s="4" t="s">
        <v>1509</v>
      </c>
      <c r="H703" s="4" t="s">
        <v>31</v>
      </c>
      <c r="I703" s="4">
        <v>7</v>
      </c>
      <c r="J703" s="4" t="s">
        <v>24</v>
      </c>
      <c r="K703" s="4">
        <v>95</v>
      </c>
      <c r="L703" s="4">
        <v>2</v>
      </c>
      <c r="M703" s="4" t="s">
        <v>33</v>
      </c>
      <c r="N703" s="28">
        <f ca="1" t="shared" si="3"/>
        <v>0.411600567055988</v>
      </c>
      <c r="O703" s="4" t="s">
        <v>104</v>
      </c>
      <c r="P703" s="4">
        <v>190</v>
      </c>
      <c r="Q703" s="4">
        <v>126</v>
      </c>
      <c r="R703" s="4">
        <v>37</v>
      </c>
    </row>
    <row r="704" spans="1:18">
      <c r="A704" s="4" t="s">
        <v>1510</v>
      </c>
      <c r="B704" s="4" t="s">
        <v>1502</v>
      </c>
      <c r="C704" s="4" t="s">
        <v>91</v>
      </c>
      <c r="D704" s="27">
        <v>45251</v>
      </c>
      <c r="E704" s="4" t="s">
        <v>20</v>
      </c>
      <c r="F704" s="4" t="s">
        <v>21</v>
      </c>
      <c r="G704" s="4" t="s">
        <v>1511</v>
      </c>
      <c r="H704" s="4" t="s">
        <v>40</v>
      </c>
      <c r="I704" s="4">
        <v>8</v>
      </c>
      <c r="J704" s="4" t="s">
        <v>32</v>
      </c>
      <c r="K704" s="4">
        <v>72</v>
      </c>
      <c r="L704" s="4">
        <v>5</v>
      </c>
      <c r="M704" s="4" t="s">
        <v>33</v>
      </c>
      <c r="N704" s="28">
        <f ca="1" t="shared" si="3"/>
        <v>0.733923376076148</v>
      </c>
      <c r="O704" s="4" t="s">
        <v>26</v>
      </c>
      <c r="P704" s="4">
        <v>360</v>
      </c>
      <c r="Q704" s="4">
        <v>108</v>
      </c>
      <c r="R704" s="4">
        <v>46</v>
      </c>
    </row>
    <row r="705" spans="1:18">
      <c r="A705" s="4" t="s">
        <v>1512</v>
      </c>
      <c r="B705" s="4" t="s">
        <v>1504</v>
      </c>
      <c r="C705" s="4" t="s">
        <v>77</v>
      </c>
      <c r="D705" s="27">
        <v>45246</v>
      </c>
      <c r="E705" s="4" t="s">
        <v>29</v>
      </c>
      <c r="F705" s="4" t="s">
        <v>21</v>
      </c>
      <c r="G705" s="4" t="s">
        <v>1513</v>
      </c>
      <c r="H705" s="4" t="s">
        <v>23</v>
      </c>
      <c r="I705" s="4">
        <v>7</v>
      </c>
      <c r="J705" s="4" t="s">
        <v>86</v>
      </c>
      <c r="K705" s="4">
        <v>65</v>
      </c>
      <c r="L705" s="4">
        <v>13</v>
      </c>
      <c r="M705" s="4" t="s">
        <v>33</v>
      </c>
      <c r="N705" s="28">
        <f ca="1" t="shared" si="3"/>
        <v>0.271516328862175</v>
      </c>
      <c r="O705" s="4" t="s">
        <v>34</v>
      </c>
      <c r="P705" s="4">
        <v>845</v>
      </c>
      <c r="Q705" s="4">
        <v>259</v>
      </c>
      <c r="R705" s="4">
        <v>36</v>
      </c>
    </row>
    <row r="706" spans="1:18">
      <c r="A706" s="4" t="s">
        <v>1514</v>
      </c>
      <c r="B706" s="4" t="s">
        <v>1506</v>
      </c>
      <c r="C706" s="4" t="s">
        <v>49</v>
      </c>
      <c r="D706" s="27">
        <v>45233</v>
      </c>
      <c r="E706" s="4" t="s">
        <v>29</v>
      </c>
      <c r="F706" s="4" t="s">
        <v>21</v>
      </c>
      <c r="G706" s="4" t="s">
        <v>1515</v>
      </c>
      <c r="H706" s="4" t="s">
        <v>31</v>
      </c>
      <c r="I706" s="4">
        <v>9</v>
      </c>
      <c r="J706" s="4" t="s">
        <v>89</v>
      </c>
      <c r="K706" s="4">
        <v>250</v>
      </c>
      <c r="L706" s="4">
        <v>3</v>
      </c>
      <c r="M706" s="4" t="s">
        <v>25</v>
      </c>
      <c r="N706" s="28">
        <f ca="1" t="shared" si="3"/>
        <v>0.788673250917049</v>
      </c>
      <c r="O706" s="4" t="s">
        <v>42</v>
      </c>
      <c r="P706" s="4">
        <v>750</v>
      </c>
      <c r="Q706" s="4">
        <v>675</v>
      </c>
      <c r="R706" s="4">
        <v>103</v>
      </c>
    </row>
    <row r="707" spans="1:18">
      <c r="A707" s="4" t="s">
        <v>1516</v>
      </c>
      <c r="B707" s="4" t="s">
        <v>1508</v>
      </c>
      <c r="C707" s="4" t="s">
        <v>101</v>
      </c>
      <c r="D707" s="27">
        <v>45236</v>
      </c>
      <c r="E707" s="4" t="s">
        <v>20</v>
      </c>
      <c r="F707" s="4" t="s">
        <v>21</v>
      </c>
      <c r="G707" s="4" t="s">
        <v>1517</v>
      </c>
      <c r="H707" s="4" t="s">
        <v>40</v>
      </c>
      <c r="I707" s="4">
        <v>10</v>
      </c>
      <c r="J707" s="4" t="s">
        <v>93</v>
      </c>
      <c r="K707" s="4">
        <v>130</v>
      </c>
      <c r="L707" s="4">
        <v>2</v>
      </c>
      <c r="M707" s="4" t="s">
        <v>25</v>
      </c>
      <c r="N707" s="28">
        <f ca="1" t="shared" si="3"/>
        <v>0.665434321818149</v>
      </c>
      <c r="O707" s="4" t="s">
        <v>47</v>
      </c>
      <c r="P707" s="4">
        <v>260</v>
      </c>
      <c r="Q707" s="4">
        <v>242</v>
      </c>
      <c r="R707" s="4">
        <v>83</v>
      </c>
    </row>
    <row r="708" spans="1:18">
      <c r="A708" s="4" t="s">
        <v>1518</v>
      </c>
      <c r="B708" s="4" t="s">
        <v>1510</v>
      </c>
      <c r="C708" s="4" t="s">
        <v>106</v>
      </c>
      <c r="D708" s="27">
        <v>45243</v>
      </c>
      <c r="E708" s="4" t="s">
        <v>29</v>
      </c>
      <c r="F708" s="4" t="s">
        <v>38</v>
      </c>
      <c r="G708" s="4" t="s">
        <v>1519</v>
      </c>
      <c r="H708" s="4" t="s">
        <v>23</v>
      </c>
      <c r="I708" s="4">
        <v>7</v>
      </c>
      <c r="J708" s="4" t="s">
        <v>96</v>
      </c>
      <c r="K708" s="4">
        <v>72</v>
      </c>
      <c r="L708" s="4">
        <v>5</v>
      </c>
      <c r="M708" s="4" t="s">
        <v>25</v>
      </c>
      <c r="N708" s="28">
        <f ca="1" t="shared" si="3"/>
        <v>0.209998128436073</v>
      </c>
      <c r="O708" s="4" t="s">
        <v>26</v>
      </c>
      <c r="P708" s="4">
        <v>360</v>
      </c>
      <c r="Q708" s="4">
        <v>330</v>
      </c>
      <c r="R708" s="4">
        <v>30</v>
      </c>
    </row>
    <row r="709" spans="1:18">
      <c r="A709" s="4" t="s">
        <v>1520</v>
      </c>
      <c r="B709" s="4" t="s">
        <v>1512</v>
      </c>
      <c r="C709" s="4" t="s">
        <v>110</v>
      </c>
      <c r="D709" s="27">
        <v>45250</v>
      </c>
      <c r="E709" s="4" t="s">
        <v>29</v>
      </c>
      <c r="F709" s="4" t="s">
        <v>21</v>
      </c>
      <c r="G709" s="4" t="s">
        <v>1521</v>
      </c>
      <c r="H709" s="4" t="s">
        <v>31</v>
      </c>
      <c r="I709" s="4">
        <v>7</v>
      </c>
      <c r="J709" s="4" t="s">
        <v>58</v>
      </c>
      <c r="K709" s="4">
        <v>65</v>
      </c>
      <c r="L709" s="4">
        <v>6</v>
      </c>
      <c r="M709" s="4" t="s">
        <v>25</v>
      </c>
      <c r="N709" s="28">
        <f ca="1" t="shared" si="3"/>
        <v>0.703686580447691</v>
      </c>
      <c r="O709" s="4" t="s">
        <v>34</v>
      </c>
      <c r="P709" s="4">
        <v>390</v>
      </c>
      <c r="Q709" s="4">
        <v>189</v>
      </c>
      <c r="R709" s="4">
        <v>40</v>
      </c>
    </row>
    <row r="710" spans="1:18">
      <c r="A710" s="4" t="s">
        <v>1522</v>
      </c>
      <c r="B710" s="4" t="s">
        <v>1514</v>
      </c>
      <c r="C710" s="4" t="s">
        <v>114</v>
      </c>
      <c r="D710" s="27">
        <v>45258</v>
      </c>
      <c r="E710" s="4" t="s">
        <v>20</v>
      </c>
      <c r="F710" s="4" t="s">
        <v>21</v>
      </c>
      <c r="G710" s="4" t="s">
        <v>1523</v>
      </c>
      <c r="H710" s="4" t="s">
        <v>40</v>
      </c>
      <c r="I710" s="4">
        <v>7</v>
      </c>
      <c r="J710" s="4" t="s">
        <v>63</v>
      </c>
      <c r="K710" s="4">
        <v>250</v>
      </c>
      <c r="L710" s="4">
        <v>1</v>
      </c>
      <c r="M710" s="4" t="s">
        <v>25</v>
      </c>
      <c r="N710" s="28">
        <f ca="1" t="shared" si="3"/>
        <v>0.846998375779396</v>
      </c>
      <c r="O710" s="4" t="s">
        <v>42</v>
      </c>
      <c r="P710" s="4">
        <v>250</v>
      </c>
      <c r="Q710" s="4">
        <v>200</v>
      </c>
      <c r="R710" s="4">
        <v>73</v>
      </c>
    </row>
    <row r="711" spans="1:18">
      <c r="A711" s="4" t="s">
        <v>1524</v>
      </c>
      <c r="B711" s="4" t="s">
        <v>1516</v>
      </c>
      <c r="C711" s="4" t="s">
        <v>118</v>
      </c>
      <c r="D711" s="27">
        <v>45257</v>
      </c>
      <c r="E711" s="4" t="s">
        <v>29</v>
      </c>
      <c r="F711" s="4" t="s">
        <v>21</v>
      </c>
      <c r="G711" s="4" t="s">
        <v>1525</v>
      </c>
      <c r="H711" s="4" t="s">
        <v>23</v>
      </c>
      <c r="I711" s="4">
        <v>9</v>
      </c>
      <c r="J711" s="4" t="s">
        <v>67</v>
      </c>
      <c r="K711" s="4">
        <v>130</v>
      </c>
      <c r="L711" s="4">
        <v>4</v>
      </c>
      <c r="M711" s="4" t="s">
        <v>25</v>
      </c>
      <c r="N711" s="28">
        <f ca="1" t="shared" si="3"/>
        <v>0.282361366768161</v>
      </c>
      <c r="O711" s="4" t="s">
        <v>47</v>
      </c>
      <c r="P711" s="4">
        <v>520</v>
      </c>
      <c r="Q711" s="4">
        <v>212</v>
      </c>
      <c r="R711" s="4">
        <v>60</v>
      </c>
    </row>
    <row r="712" spans="1:18">
      <c r="A712" s="4" t="s">
        <v>1526</v>
      </c>
      <c r="B712" s="4" t="s">
        <v>1518</v>
      </c>
      <c r="C712" s="4" t="s">
        <v>122</v>
      </c>
      <c r="D712" s="27">
        <v>45254</v>
      </c>
      <c r="E712" s="4" t="s">
        <v>20</v>
      </c>
      <c r="F712" s="4" t="s">
        <v>21</v>
      </c>
      <c r="G712" s="4" t="s">
        <v>1527</v>
      </c>
      <c r="H712" s="4" t="s">
        <v>31</v>
      </c>
      <c r="I712" s="4">
        <v>10</v>
      </c>
      <c r="J712" s="4" t="s">
        <v>103</v>
      </c>
      <c r="K712" s="4">
        <v>60</v>
      </c>
      <c r="L712" s="4">
        <v>7</v>
      </c>
      <c r="M712" s="4" t="s">
        <v>25</v>
      </c>
      <c r="N712" s="28">
        <f ca="1" t="shared" si="3"/>
        <v>0.589777330009863</v>
      </c>
      <c r="O712" s="4" t="s">
        <v>68</v>
      </c>
      <c r="P712" s="4">
        <v>420</v>
      </c>
      <c r="Q712" s="4">
        <v>296</v>
      </c>
      <c r="R712" s="4">
        <v>37</v>
      </c>
    </row>
    <row r="713" spans="1:18">
      <c r="A713" s="4" t="s">
        <v>1528</v>
      </c>
      <c r="B713" s="4" t="s">
        <v>1520</v>
      </c>
      <c r="C713" s="4" t="s">
        <v>126</v>
      </c>
      <c r="D713" s="27">
        <v>45235</v>
      </c>
      <c r="E713" s="4" t="s">
        <v>29</v>
      </c>
      <c r="F713" s="4" t="s">
        <v>21</v>
      </c>
      <c r="G713" s="4" t="s">
        <v>1529</v>
      </c>
      <c r="H713" s="4" t="s">
        <v>40</v>
      </c>
      <c r="I713" s="4">
        <v>7</v>
      </c>
      <c r="J713" s="4" t="s">
        <v>108</v>
      </c>
      <c r="K713" s="4">
        <v>72</v>
      </c>
      <c r="L713" s="4">
        <v>6</v>
      </c>
      <c r="M713" s="4" t="s">
        <v>25</v>
      </c>
      <c r="N713" s="28">
        <f ca="1" t="shared" si="3"/>
        <v>0.415942338313313</v>
      </c>
      <c r="O713" s="4" t="s">
        <v>26</v>
      </c>
      <c r="P713" s="4">
        <v>432</v>
      </c>
      <c r="Q713" s="4">
        <v>336</v>
      </c>
      <c r="R713" s="4">
        <v>24</v>
      </c>
    </row>
    <row r="714" spans="1:18">
      <c r="A714" s="4" t="s">
        <v>1530</v>
      </c>
      <c r="B714" s="4" t="s">
        <v>1522</v>
      </c>
      <c r="C714" s="4" t="s">
        <v>130</v>
      </c>
      <c r="D714" s="27">
        <v>45253</v>
      </c>
      <c r="E714" s="4" t="s">
        <v>20</v>
      </c>
      <c r="F714" s="4" t="s">
        <v>21</v>
      </c>
      <c r="G714" s="4" t="s">
        <v>1531</v>
      </c>
      <c r="H714" s="4" t="s">
        <v>23</v>
      </c>
      <c r="I714" s="4">
        <v>7</v>
      </c>
      <c r="J714" s="4" t="s">
        <v>112</v>
      </c>
      <c r="K714" s="4">
        <v>65</v>
      </c>
      <c r="L714" s="4">
        <v>11</v>
      </c>
      <c r="M714" s="4" t="s">
        <v>25</v>
      </c>
      <c r="N714" s="28">
        <f ca="1" t="shared" si="3"/>
        <v>0.837910664858952</v>
      </c>
      <c r="O714" s="4" t="s">
        <v>34</v>
      </c>
      <c r="P714" s="4">
        <v>715</v>
      </c>
      <c r="Q714" s="4">
        <v>118</v>
      </c>
      <c r="R714" s="4">
        <v>42</v>
      </c>
    </row>
    <row r="715" spans="1:18">
      <c r="A715" s="4" t="s">
        <v>1532</v>
      </c>
      <c r="B715" s="4" t="s">
        <v>1524</v>
      </c>
      <c r="C715" s="4" t="s">
        <v>134</v>
      </c>
      <c r="D715" s="27">
        <v>45235</v>
      </c>
      <c r="E715" s="4" t="s">
        <v>29</v>
      </c>
      <c r="F715" s="4" t="s">
        <v>21</v>
      </c>
      <c r="G715" s="4" t="s">
        <v>1533</v>
      </c>
      <c r="H715" s="4" t="s">
        <v>31</v>
      </c>
      <c r="I715" s="4">
        <v>8</v>
      </c>
      <c r="J715" s="4" t="s">
        <v>116</v>
      </c>
      <c r="K715" s="4">
        <v>250</v>
      </c>
      <c r="L715" s="4">
        <v>1</v>
      </c>
      <c r="M715" s="4" t="s">
        <v>33</v>
      </c>
      <c r="N715" s="28">
        <f ca="1" t="shared" si="3"/>
        <v>0.92026619397839</v>
      </c>
      <c r="O715" s="4" t="s">
        <v>42</v>
      </c>
      <c r="P715" s="4">
        <v>250</v>
      </c>
      <c r="Q715" s="4">
        <v>186</v>
      </c>
      <c r="R715" s="4">
        <v>133</v>
      </c>
    </row>
    <row r="716" spans="1:18">
      <c r="A716" s="4" t="s">
        <v>1534</v>
      </c>
      <c r="B716" s="4" t="s">
        <v>1526</v>
      </c>
      <c r="C716" s="4" t="s">
        <v>139</v>
      </c>
      <c r="D716" s="27">
        <v>45244</v>
      </c>
      <c r="E716" s="4" t="s">
        <v>37</v>
      </c>
      <c r="F716" s="4" t="s">
        <v>21</v>
      </c>
      <c r="G716" s="4" t="s">
        <v>1535</v>
      </c>
      <c r="H716" s="4" t="s">
        <v>40</v>
      </c>
      <c r="I716" s="4">
        <v>8</v>
      </c>
      <c r="J716" s="4" t="s">
        <v>120</v>
      </c>
      <c r="K716" s="4">
        <v>130</v>
      </c>
      <c r="L716" s="4">
        <v>2</v>
      </c>
      <c r="M716" s="4" t="s">
        <v>25</v>
      </c>
      <c r="N716" s="28">
        <f ca="1" t="shared" si="3"/>
        <v>0.75953378074442</v>
      </c>
      <c r="O716" s="4" t="s">
        <v>47</v>
      </c>
      <c r="P716" s="4">
        <v>260</v>
      </c>
      <c r="Q716" s="4">
        <v>149</v>
      </c>
      <c r="R716" s="4">
        <v>70</v>
      </c>
    </row>
    <row r="717" spans="1:18">
      <c r="A717" s="4" t="s">
        <v>1536</v>
      </c>
      <c r="B717" s="4" t="s">
        <v>1528</v>
      </c>
      <c r="C717" s="4" t="s">
        <v>143</v>
      </c>
      <c r="D717" s="27">
        <v>45247</v>
      </c>
      <c r="E717" s="4" t="s">
        <v>20</v>
      </c>
      <c r="F717" s="4" t="s">
        <v>21</v>
      </c>
      <c r="G717" s="4" t="s">
        <v>1537</v>
      </c>
      <c r="H717" s="4" t="s">
        <v>23</v>
      </c>
      <c r="I717" s="4">
        <v>10</v>
      </c>
      <c r="J717" s="4" t="s">
        <v>24</v>
      </c>
      <c r="K717" s="4">
        <v>72</v>
      </c>
      <c r="L717" s="4">
        <v>12</v>
      </c>
      <c r="M717" s="4" t="s">
        <v>25</v>
      </c>
      <c r="N717" s="28">
        <f ca="1" t="shared" si="3"/>
        <v>0.593254873969066</v>
      </c>
      <c r="O717" s="4" t="s">
        <v>26</v>
      </c>
      <c r="P717" s="4">
        <v>864</v>
      </c>
      <c r="Q717" s="4">
        <v>517</v>
      </c>
      <c r="R717" s="4">
        <v>47</v>
      </c>
    </row>
    <row r="718" spans="1:18">
      <c r="A718" s="4" t="s">
        <v>1538</v>
      </c>
      <c r="B718" s="4" t="s">
        <v>1530</v>
      </c>
      <c r="C718" s="4" t="s">
        <v>146</v>
      </c>
      <c r="D718" s="27">
        <v>45251</v>
      </c>
      <c r="E718" s="4" t="s">
        <v>29</v>
      </c>
      <c r="F718" s="4" t="s">
        <v>21</v>
      </c>
      <c r="G718" s="4" t="s">
        <v>1539</v>
      </c>
      <c r="H718" s="4" t="s">
        <v>31</v>
      </c>
      <c r="I718" s="4">
        <v>9</v>
      </c>
      <c r="J718" s="4" t="s">
        <v>32</v>
      </c>
      <c r="K718" s="4">
        <v>65</v>
      </c>
      <c r="L718" s="4">
        <v>9</v>
      </c>
      <c r="M718" s="4" t="s">
        <v>25</v>
      </c>
      <c r="N718" s="28">
        <f ca="1" t="shared" si="3"/>
        <v>0.413309044569908</v>
      </c>
      <c r="O718" s="4" t="s">
        <v>34</v>
      </c>
      <c r="P718" s="4">
        <v>585</v>
      </c>
      <c r="Q718" s="4">
        <v>521</v>
      </c>
      <c r="R718" s="4">
        <v>40</v>
      </c>
    </row>
    <row r="719" spans="1:18">
      <c r="A719" s="4" t="s">
        <v>1540</v>
      </c>
      <c r="B719" s="4" t="s">
        <v>1532</v>
      </c>
      <c r="C719" s="4" t="s">
        <v>149</v>
      </c>
      <c r="D719" s="27">
        <v>45256</v>
      </c>
      <c r="E719" s="4" t="s">
        <v>29</v>
      </c>
      <c r="F719" s="4" t="s">
        <v>21</v>
      </c>
      <c r="G719" s="4" t="s">
        <v>1541</v>
      </c>
      <c r="H719" s="4" t="s">
        <v>40</v>
      </c>
      <c r="I719" s="4">
        <v>9</v>
      </c>
      <c r="J719" s="4" t="s">
        <v>86</v>
      </c>
      <c r="K719" s="4">
        <v>250</v>
      </c>
      <c r="L719" s="4">
        <v>2</v>
      </c>
      <c r="M719" s="4" t="s">
        <v>25</v>
      </c>
      <c r="N719" s="28">
        <f ca="1" t="shared" si="3"/>
        <v>0.774497063277042</v>
      </c>
      <c r="O719" s="4" t="s">
        <v>42</v>
      </c>
      <c r="P719" s="4">
        <v>500</v>
      </c>
      <c r="Q719" s="4">
        <v>293</v>
      </c>
      <c r="R719" s="4">
        <v>65</v>
      </c>
    </row>
    <row r="720" spans="1:18">
      <c r="A720" s="4" t="s">
        <v>1542</v>
      </c>
      <c r="B720" s="4" t="s">
        <v>1534</v>
      </c>
      <c r="C720" s="4" t="s">
        <v>152</v>
      </c>
      <c r="D720" s="27">
        <v>45250</v>
      </c>
      <c r="E720" s="4" t="s">
        <v>20</v>
      </c>
      <c r="F720" s="4" t="s">
        <v>21</v>
      </c>
      <c r="G720" s="4" t="s">
        <v>1543</v>
      </c>
      <c r="H720" s="4" t="s">
        <v>23</v>
      </c>
      <c r="I720" s="4">
        <v>7</v>
      </c>
      <c r="J720" s="4" t="s">
        <v>89</v>
      </c>
      <c r="K720" s="4">
        <v>130</v>
      </c>
      <c r="L720" s="4">
        <v>2</v>
      </c>
      <c r="M720" s="4" t="s">
        <v>25</v>
      </c>
      <c r="N720" s="28">
        <f ca="1" t="shared" si="3"/>
        <v>0.221741254374996</v>
      </c>
      <c r="O720" s="4" t="s">
        <v>47</v>
      </c>
      <c r="P720" s="4">
        <v>260</v>
      </c>
      <c r="Q720" s="4">
        <v>108</v>
      </c>
      <c r="R720" s="4">
        <v>78</v>
      </c>
    </row>
    <row r="721" spans="1:18">
      <c r="A721" s="4" t="s">
        <v>1544</v>
      </c>
      <c r="B721" s="4" t="s">
        <v>1536</v>
      </c>
      <c r="C721" s="4" t="s">
        <v>84</v>
      </c>
      <c r="D721" s="27">
        <v>45235</v>
      </c>
      <c r="E721" s="4" t="s">
        <v>29</v>
      </c>
      <c r="F721" s="4" t="s">
        <v>21</v>
      </c>
      <c r="G721" s="4" t="s">
        <v>1545</v>
      </c>
      <c r="H721" s="4" t="s">
        <v>31</v>
      </c>
      <c r="I721" s="4">
        <v>10</v>
      </c>
      <c r="J721" s="4" t="s">
        <v>93</v>
      </c>
      <c r="K721" s="4">
        <v>60</v>
      </c>
      <c r="L721" s="4">
        <v>12</v>
      </c>
      <c r="M721" s="4" t="s">
        <v>33</v>
      </c>
      <c r="N721" s="28">
        <f ca="1" t="shared" si="3"/>
        <v>0.485509729013945</v>
      </c>
      <c r="O721" s="4" t="s">
        <v>68</v>
      </c>
      <c r="P721" s="4">
        <v>720</v>
      </c>
      <c r="Q721" s="4">
        <v>237</v>
      </c>
      <c r="R721" s="4">
        <v>20</v>
      </c>
    </row>
    <row r="722" spans="1:18">
      <c r="A722" s="4" t="s">
        <v>1546</v>
      </c>
      <c r="B722" s="4" t="s">
        <v>1538</v>
      </c>
      <c r="C722" s="4" t="s">
        <v>118</v>
      </c>
      <c r="D722" s="27">
        <v>45243</v>
      </c>
      <c r="E722" s="4" t="s">
        <v>20</v>
      </c>
      <c r="F722" s="4" t="s">
        <v>21</v>
      </c>
      <c r="G722" s="4" t="s">
        <v>1547</v>
      </c>
      <c r="H722" s="4" t="s">
        <v>40</v>
      </c>
      <c r="I722" s="4">
        <v>7</v>
      </c>
      <c r="J722" s="4" t="s">
        <v>96</v>
      </c>
      <c r="K722" s="4">
        <v>95</v>
      </c>
      <c r="L722" s="4">
        <v>5</v>
      </c>
      <c r="M722" s="4" t="s">
        <v>25</v>
      </c>
      <c r="N722" s="28">
        <f ca="1" t="shared" si="3"/>
        <v>0.628751483521323</v>
      </c>
      <c r="O722" s="4" t="s">
        <v>104</v>
      </c>
      <c r="P722" s="4">
        <v>475</v>
      </c>
      <c r="Q722" s="4">
        <v>109</v>
      </c>
      <c r="R722" s="4">
        <v>50</v>
      </c>
    </row>
    <row r="723" spans="1:18">
      <c r="A723" s="4" t="s">
        <v>1548</v>
      </c>
      <c r="B723" s="4" t="s">
        <v>1540</v>
      </c>
      <c r="C723" s="4" t="s">
        <v>139</v>
      </c>
      <c r="D723" s="27">
        <v>45233</v>
      </c>
      <c r="E723" s="4" t="s">
        <v>29</v>
      </c>
      <c r="F723" s="4" t="s">
        <v>21</v>
      </c>
      <c r="G723" s="4" t="s">
        <v>1549</v>
      </c>
      <c r="H723" s="4" t="s">
        <v>23</v>
      </c>
      <c r="I723" s="4">
        <v>7</v>
      </c>
      <c r="J723" s="4" t="s">
        <v>58</v>
      </c>
      <c r="K723" s="4">
        <v>72</v>
      </c>
      <c r="L723" s="4">
        <v>8</v>
      </c>
      <c r="M723" s="4" t="s">
        <v>25</v>
      </c>
      <c r="N723" s="28">
        <f ca="1" t="shared" si="3"/>
        <v>0.923406479838521</v>
      </c>
      <c r="O723" s="4" t="s">
        <v>26</v>
      </c>
      <c r="P723" s="4">
        <v>576</v>
      </c>
      <c r="Q723" s="4">
        <v>57</v>
      </c>
      <c r="R723" s="4">
        <v>29</v>
      </c>
    </row>
    <row r="724" spans="1:18">
      <c r="A724" s="4" t="s">
        <v>1550</v>
      </c>
      <c r="B724" s="4" t="s">
        <v>1542</v>
      </c>
      <c r="C724" s="4" t="s">
        <v>49</v>
      </c>
      <c r="D724" s="27">
        <v>45244</v>
      </c>
      <c r="E724" s="4" t="s">
        <v>29</v>
      </c>
      <c r="F724" s="4" t="s">
        <v>21</v>
      </c>
      <c r="G724" s="4" t="s">
        <v>1551</v>
      </c>
      <c r="H724" s="4" t="s">
        <v>31</v>
      </c>
      <c r="I724" s="4">
        <v>10</v>
      </c>
      <c r="J724" s="4" t="s">
        <v>63</v>
      </c>
      <c r="K724" s="4">
        <v>65</v>
      </c>
      <c r="L724" s="4">
        <v>4</v>
      </c>
      <c r="M724" s="4" t="s">
        <v>25</v>
      </c>
      <c r="N724" s="28">
        <f ca="1" t="shared" si="3"/>
        <v>0.172025165440563</v>
      </c>
      <c r="O724" s="4" t="s">
        <v>34</v>
      </c>
      <c r="P724" s="4">
        <v>260</v>
      </c>
      <c r="Q724" s="4">
        <v>243</v>
      </c>
      <c r="R724" s="4">
        <v>21</v>
      </c>
    </row>
    <row r="725" spans="1:18">
      <c r="A725" s="4" t="s">
        <v>1552</v>
      </c>
      <c r="B725" s="4" t="s">
        <v>1544</v>
      </c>
      <c r="C725" s="4" t="s">
        <v>91</v>
      </c>
      <c r="D725" s="27">
        <v>45249</v>
      </c>
      <c r="E725" s="4" t="s">
        <v>20</v>
      </c>
      <c r="F725" s="4" t="s">
        <v>21</v>
      </c>
      <c r="G725" s="4" t="s">
        <v>1553</v>
      </c>
      <c r="H725" s="4" t="s">
        <v>40</v>
      </c>
      <c r="I725" s="4">
        <v>7</v>
      </c>
      <c r="J725" s="4" t="s">
        <v>67</v>
      </c>
      <c r="K725" s="4">
        <v>250</v>
      </c>
      <c r="L725" s="4">
        <v>2</v>
      </c>
      <c r="M725" s="4" t="s">
        <v>33</v>
      </c>
      <c r="N725" s="28">
        <f ca="1" t="shared" si="3"/>
        <v>0.48127897100951</v>
      </c>
      <c r="O725" s="4" t="s">
        <v>42</v>
      </c>
      <c r="P725" s="4">
        <v>500</v>
      </c>
      <c r="Q725" s="4">
        <v>149</v>
      </c>
      <c r="R725" s="4">
        <v>93</v>
      </c>
    </row>
    <row r="726" spans="1:18">
      <c r="A726" s="4" t="s">
        <v>1554</v>
      </c>
      <c r="B726" s="4" t="s">
        <v>1546</v>
      </c>
      <c r="C726" s="4" t="s">
        <v>146</v>
      </c>
      <c r="D726" s="27">
        <v>45256</v>
      </c>
      <c r="E726" s="4" t="s">
        <v>29</v>
      </c>
      <c r="F726" s="4" t="s">
        <v>21</v>
      </c>
      <c r="G726" s="4" t="s">
        <v>1555</v>
      </c>
      <c r="H726" s="4" t="s">
        <v>23</v>
      </c>
      <c r="I726" s="4">
        <v>10</v>
      </c>
      <c r="J726" s="4" t="s">
        <v>103</v>
      </c>
      <c r="K726" s="4">
        <v>130</v>
      </c>
      <c r="L726" s="4">
        <v>4</v>
      </c>
      <c r="M726" s="4" t="s">
        <v>33</v>
      </c>
      <c r="N726" s="28">
        <f ca="1" t="shared" si="3"/>
        <v>0.360774821630005</v>
      </c>
      <c r="O726" s="4" t="s">
        <v>47</v>
      </c>
      <c r="P726" s="4">
        <v>520</v>
      </c>
      <c r="Q726" s="4">
        <v>103</v>
      </c>
      <c r="R726" s="4">
        <v>33</v>
      </c>
    </row>
    <row r="727" spans="1:18">
      <c r="A727" s="4" t="s">
        <v>1556</v>
      </c>
      <c r="B727" s="4" t="s">
        <v>1548</v>
      </c>
      <c r="C727" s="4" t="s">
        <v>149</v>
      </c>
      <c r="D727" s="27">
        <v>45260</v>
      </c>
      <c r="E727" s="4" t="s">
        <v>29</v>
      </c>
      <c r="F727" s="4" t="s">
        <v>21</v>
      </c>
      <c r="G727" s="4" t="s">
        <v>1557</v>
      </c>
      <c r="H727" s="4" t="s">
        <v>31</v>
      </c>
      <c r="I727" s="4">
        <v>9</v>
      </c>
      <c r="J727" s="4" t="s">
        <v>108</v>
      </c>
      <c r="K727" s="4">
        <v>72</v>
      </c>
      <c r="L727" s="4">
        <v>5</v>
      </c>
      <c r="M727" s="4" t="s">
        <v>33</v>
      </c>
      <c r="N727" s="28">
        <f ca="1" t="shared" si="3"/>
        <v>0.462757069094779</v>
      </c>
      <c r="O727" s="4" t="s">
        <v>26</v>
      </c>
      <c r="P727" s="4">
        <v>360</v>
      </c>
      <c r="Q727" s="4">
        <v>314</v>
      </c>
      <c r="R727" s="4">
        <v>22</v>
      </c>
    </row>
    <row r="728" spans="1:18">
      <c r="A728" s="4" t="s">
        <v>1558</v>
      </c>
      <c r="B728" s="4" t="s">
        <v>1550</v>
      </c>
      <c r="C728" s="4" t="s">
        <v>171</v>
      </c>
      <c r="D728" s="27">
        <v>45233</v>
      </c>
      <c r="E728" s="4" t="s">
        <v>20</v>
      </c>
      <c r="F728" s="4" t="s">
        <v>21</v>
      </c>
      <c r="G728" s="4" t="s">
        <v>1559</v>
      </c>
      <c r="H728" s="4" t="s">
        <v>40</v>
      </c>
      <c r="I728" s="4">
        <v>10</v>
      </c>
      <c r="J728" s="4" t="s">
        <v>112</v>
      </c>
      <c r="K728" s="4">
        <v>65</v>
      </c>
      <c r="L728" s="4">
        <v>10</v>
      </c>
      <c r="M728" s="4" t="s">
        <v>33</v>
      </c>
      <c r="N728" s="28">
        <f ca="1" t="shared" si="3"/>
        <v>0.226239830174825</v>
      </c>
      <c r="O728" s="4" t="s">
        <v>34</v>
      </c>
      <c r="P728" s="4">
        <v>650</v>
      </c>
      <c r="Q728" s="4">
        <v>141</v>
      </c>
      <c r="R728" s="4">
        <v>26</v>
      </c>
    </row>
    <row r="729" spans="1:18">
      <c r="A729" s="4" t="s">
        <v>1560</v>
      </c>
      <c r="B729" s="4" t="s">
        <v>1552</v>
      </c>
      <c r="C729" s="4" t="s">
        <v>316</v>
      </c>
      <c r="D729" s="27">
        <v>45258</v>
      </c>
      <c r="E729" s="4" t="s">
        <v>29</v>
      </c>
      <c r="F729" s="4" t="s">
        <v>21</v>
      </c>
      <c r="G729" s="4" t="s">
        <v>1561</v>
      </c>
      <c r="H729" s="4" t="s">
        <v>23</v>
      </c>
      <c r="I729" s="4">
        <v>7</v>
      </c>
      <c r="J729" s="4" t="s">
        <v>116</v>
      </c>
      <c r="K729" s="4">
        <v>250</v>
      </c>
      <c r="L729" s="4">
        <v>2</v>
      </c>
      <c r="M729" s="4" t="s">
        <v>33</v>
      </c>
      <c r="N729" s="28">
        <f ca="1" t="shared" si="3"/>
        <v>0.454952479369342</v>
      </c>
      <c r="O729" s="4" t="s">
        <v>42</v>
      </c>
      <c r="P729" s="4">
        <v>500</v>
      </c>
      <c r="Q729" s="4">
        <v>119</v>
      </c>
      <c r="R729" s="4">
        <v>95</v>
      </c>
    </row>
    <row r="730" spans="1:18">
      <c r="A730" s="4" t="s">
        <v>1562</v>
      </c>
      <c r="B730" s="4" t="s">
        <v>1554</v>
      </c>
      <c r="C730" s="4" t="s">
        <v>176</v>
      </c>
      <c r="D730" s="27">
        <v>45257</v>
      </c>
      <c r="E730" s="4" t="s">
        <v>20</v>
      </c>
      <c r="F730" s="4" t="s">
        <v>38</v>
      </c>
      <c r="G730" s="4" t="s">
        <v>1563</v>
      </c>
      <c r="H730" s="4" t="s">
        <v>31</v>
      </c>
      <c r="I730" s="4">
        <v>10</v>
      </c>
      <c r="J730" s="4" t="s">
        <v>120</v>
      </c>
      <c r="K730" s="4">
        <v>130</v>
      </c>
      <c r="L730" s="4">
        <v>3</v>
      </c>
      <c r="M730" s="4" t="s">
        <v>33</v>
      </c>
      <c r="N730" s="28">
        <f ca="1" t="shared" si="3"/>
        <v>0.429793002324105</v>
      </c>
      <c r="O730" s="4" t="s">
        <v>47</v>
      </c>
      <c r="P730" s="4">
        <v>390</v>
      </c>
      <c r="Q730" s="4">
        <v>164</v>
      </c>
      <c r="R730" s="4">
        <v>85</v>
      </c>
    </row>
    <row r="731" spans="1:18">
      <c r="A731" s="4" t="s">
        <v>1564</v>
      </c>
      <c r="B731" s="4" t="s">
        <v>1556</v>
      </c>
      <c r="C731" s="4" t="s">
        <v>179</v>
      </c>
      <c r="D731" s="27">
        <v>45238</v>
      </c>
      <c r="E731" s="4" t="s">
        <v>29</v>
      </c>
      <c r="F731" s="4" t="s">
        <v>21</v>
      </c>
      <c r="G731" s="4" t="s">
        <v>1565</v>
      </c>
      <c r="H731" s="4" t="s">
        <v>40</v>
      </c>
      <c r="I731" s="4">
        <v>10</v>
      </c>
      <c r="J731" s="4" t="s">
        <v>24</v>
      </c>
      <c r="K731" s="4">
        <v>72</v>
      </c>
      <c r="L731" s="4">
        <v>9</v>
      </c>
      <c r="M731" s="4" t="s">
        <v>33</v>
      </c>
      <c r="N731" s="28">
        <f ca="1" t="shared" si="3"/>
        <v>0.0753121930011469</v>
      </c>
      <c r="O731" s="4" t="s">
        <v>26</v>
      </c>
      <c r="P731" s="4">
        <v>648</v>
      </c>
      <c r="Q731" s="4">
        <v>87</v>
      </c>
      <c r="R731" s="4">
        <v>27</v>
      </c>
    </row>
    <row r="732" spans="1:18">
      <c r="A732" s="4" t="s">
        <v>1566</v>
      </c>
      <c r="B732" s="4" t="s">
        <v>1558</v>
      </c>
      <c r="C732" s="4" t="s">
        <v>182</v>
      </c>
      <c r="D732" s="27">
        <v>45259</v>
      </c>
      <c r="E732" s="4" t="s">
        <v>20</v>
      </c>
      <c r="F732" s="4" t="s">
        <v>21</v>
      </c>
      <c r="G732" s="4" t="s">
        <v>1567</v>
      </c>
      <c r="H732" s="4" t="s">
        <v>23</v>
      </c>
      <c r="I732" s="4">
        <v>8</v>
      </c>
      <c r="J732" s="4" t="s">
        <v>32</v>
      </c>
      <c r="K732" s="4">
        <v>65</v>
      </c>
      <c r="L732" s="4">
        <v>11</v>
      </c>
      <c r="M732" s="4" t="s">
        <v>25</v>
      </c>
      <c r="N732" s="28">
        <f ca="1" t="shared" si="3"/>
        <v>0.722843847209992</v>
      </c>
      <c r="O732" s="4" t="s">
        <v>34</v>
      </c>
      <c r="P732" s="4">
        <v>715</v>
      </c>
      <c r="Q732" s="4">
        <v>86</v>
      </c>
      <c r="R732" s="4">
        <v>24</v>
      </c>
    </row>
    <row r="733" spans="1:18">
      <c r="A733" s="4" t="s">
        <v>1568</v>
      </c>
      <c r="B733" s="4" t="s">
        <v>1560</v>
      </c>
      <c r="C733" s="4" t="s">
        <v>185</v>
      </c>
      <c r="D733" s="27">
        <v>45253</v>
      </c>
      <c r="E733" s="4" t="s">
        <v>29</v>
      </c>
      <c r="F733" s="4" t="s">
        <v>21</v>
      </c>
      <c r="G733" s="4" t="s">
        <v>1569</v>
      </c>
      <c r="H733" s="4" t="s">
        <v>31</v>
      </c>
      <c r="I733" s="4">
        <v>10</v>
      </c>
      <c r="J733" s="4" t="s">
        <v>41</v>
      </c>
      <c r="K733" s="4">
        <v>250</v>
      </c>
      <c r="L733" s="4">
        <v>1</v>
      </c>
      <c r="M733" s="4" t="s">
        <v>25</v>
      </c>
      <c r="N733" s="28">
        <f ca="1" t="shared" si="3"/>
        <v>0.0732094566806603</v>
      </c>
      <c r="O733" s="4" t="s">
        <v>42</v>
      </c>
      <c r="P733" s="4">
        <v>250</v>
      </c>
      <c r="Q733" s="4">
        <v>78</v>
      </c>
      <c r="R733" s="4">
        <v>153</v>
      </c>
    </row>
    <row r="734" spans="1:18">
      <c r="A734" s="4" t="s">
        <v>1570</v>
      </c>
      <c r="B734" s="4" t="s">
        <v>1562</v>
      </c>
      <c r="C734" s="4" t="s">
        <v>188</v>
      </c>
      <c r="D734" s="27">
        <v>45237</v>
      </c>
      <c r="E734" s="4" t="s">
        <v>29</v>
      </c>
      <c r="F734" s="4" t="s">
        <v>21</v>
      </c>
      <c r="G734" s="4" t="s">
        <v>1571</v>
      </c>
      <c r="H734" s="4" t="s">
        <v>40</v>
      </c>
      <c r="I734" s="4">
        <v>9</v>
      </c>
      <c r="J734" s="4" t="s">
        <v>46</v>
      </c>
      <c r="K734" s="4">
        <v>130</v>
      </c>
      <c r="L734" s="4">
        <v>5</v>
      </c>
      <c r="M734" s="4" t="s">
        <v>25</v>
      </c>
      <c r="N734" s="28">
        <f ca="1" t="shared" si="3"/>
        <v>0.0393520630332276</v>
      </c>
      <c r="O734" s="4" t="s">
        <v>47</v>
      </c>
      <c r="P734" s="4">
        <v>650</v>
      </c>
      <c r="Q734" s="4">
        <v>590</v>
      </c>
      <c r="R734" s="4">
        <v>81</v>
      </c>
    </row>
    <row r="735" spans="1:18">
      <c r="A735" s="4" t="s">
        <v>1572</v>
      </c>
      <c r="B735" s="4" t="s">
        <v>1564</v>
      </c>
      <c r="C735" s="4" t="s">
        <v>191</v>
      </c>
      <c r="D735" s="27">
        <v>45237</v>
      </c>
      <c r="E735" s="4" t="s">
        <v>20</v>
      </c>
      <c r="F735" s="4" t="s">
        <v>21</v>
      </c>
      <c r="G735" s="4" t="s">
        <v>1573</v>
      </c>
      <c r="H735" s="4" t="s">
        <v>23</v>
      </c>
      <c r="I735" s="4">
        <v>9</v>
      </c>
      <c r="J735" s="4" t="s">
        <v>51</v>
      </c>
      <c r="K735" s="4">
        <v>72</v>
      </c>
      <c r="L735" s="4">
        <v>11</v>
      </c>
      <c r="M735" s="4" t="s">
        <v>33</v>
      </c>
      <c r="N735" s="28">
        <f ca="1" t="shared" si="3"/>
        <v>0.372879171536658</v>
      </c>
      <c r="O735" s="4" t="s">
        <v>26</v>
      </c>
      <c r="P735" s="4">
        <v>792</v>
      </c>
      <c r="Q735" s="4">
        <v>140</v>
      </c>
      <c r="R735" s="4">
        <v>34</v>
      </c>
    </row>
    <row r="736" spans="1:18">
      <c r="A736" s="4" t="s">
        <v>1574</v>
      </c>
      <c r="B736" s="4" t="s">
        <v>1566</v>
      </c>
      <c r="C736" s="4" t="s">
        <v>114</v>
      </c>
      <c r="D736" s="27">
        <v>45244</v>
      </c>
      <c r="E736" s="4" t="s">
        <v>29</v>
      </c>
      <c r="F736" s="4" t="s">
        <v>38</v>
      </c>
      <c r="G736" s="4" t="s">
        <v>1575</v>
      </c>
      <c r="H736" s="4" t="s">
        <v>31</v>
      </c>
      <c r="I736" s="4">
        <v>9</v>
      </c>
      <c r="J736" s="4" t="s">
        <v>55</v>
      </c>
      <c r="K736" s="4">
        <v>65</v>
      </c>
      <c r="L736" s="4">
        <v>10</v>
      </c>
      <c r="M736" s="4" t="s">
        <v>33</v>
      </c>
      <c r="N736" s="28">
        <f ca="1" t="shared" si="3"/>
        <v>0.382417801666528</v>
      </c>
      <c r="O736" s="4" t="s">
        <v>34</v>
      </c>
      <c r="P736" s="4">
        <v>650</v>
      </c>
      <c r="Q736" s="4">
        <v>506</v>
      </c>
      <c r="R736" s="4">
        <v>21</v>
      </c>
    </row>
    <row r="737" spans="1:18">
      <c r="A737" s="4" t="s">
        <v>1576</v>
      </c>
      <c r="B737" s="4" t="s">
        <v>1568</v>
      </c>
      <c r="C737" s="4" t="s">
        <v>118</v>
      </c>
      <c r="D737" s="27">
        <v>45240</v>
      </c>
      <c r="E737" s="4" t="s">
        <v>20</v>
      </c>
      <c r="F737" s="4" t="s">
        <v>21</v>
      </c>
      <c r="G737" s="4" t="s">
        <v>1577</v>
      </c>
      <c r="H737" s="4" t="s">
        <v>40</v>
      </c>
      <c r="I737" s="4">
        <v>10</v>
      </c>
      <c r="J737" s="4" t="s">
        <v>58</v>
      </c>
      <c r="K737" s="4">
        <v>250</v>
      </c>
      <c r="L737" s="4">
        <v>2</v>
      </c>
      <c r="M737" s="4" t="s">
        <v>33</v>
      </c>
      <c r="N737" s="28">
        <f ca="1" t="shared" si="3"/>
        <v>0.114195677142323</v>
      </c>
      <c r="O737" s="4" t="s">
        <v>42</v>
      </c>
      <c r="P737" s="4">
        <v>500</v>
      </c>
      <c r="Q737" s="4">
        <v>109</v>
      </c>
      <c r="R737" s="4">
        <v>75</v>
      </c>
    </row>
    <row r="738" spans="1:18">
      <c r="A738" s="4" t="s">
        <v>1578</v>
      </c>
      <c r="B738" s="4" t="s">
        <v>1570</v>
      </c>
      <c r="C738" s="4" t="s">
        <v>122</v>
      </c>
      <c r="D738" s="27">
        <v>45242</v>
      </c>
      <c r="E738" s="4" t="s">
        <v>29</v>
      </c>
      <c r="F738" s="4" t="s">
        <v>21</v>
      </c>
      <c r="G738" s="4" t="s">
        <v>1579</v>
      </c>
      <c r="H738" s="4" t="s">
        <v>23</v>
      </c>
      <c r="I738" s="4">
        <v>9</v>
      </c>
      <c r="J738" s="4" t="s">
        <v>63</v>
      </c>
      <c r="K738" s="4">
        <v>130</v>
      </c>
      <c r="L738" s="4">
        <v>4</v>
      </c>
      <c r="M738" s="4" t="s">
        <v>33</v>
      </c>
      <c r="N738" s="28">
        <f ca="1" t="shared" si="3"/>
        <v>0.608447531867643</v>
      </c>
      <c r="O738" s="4" t="s">
        <v>47</v>
      </c>
      <c r="P738" s="4">
        <v>520</v>
      </c>
      <c r="Q738" s="4">
        <v>515</v>
      </c>
      <c r="R738" s="4">
        <v>33</v>
      </c>
    </row>
    <row r="739" spans="1:18">
      <c r="A739" s="4" t="s">
        <v>1580</v>
      </c>
      <c r="B739" s="4" t="s">
        <v>1572</v>
      </c>
      <c r="C739" s="4" t="s">
        <v>126</v>
      </c>
      <c r="D739" s="27">
        <v>45253</v>
      </c>
      <c r="E739" s="4" t="s">
        <v>20</v>
      </c>
      <c r="F739" s="4" t="s">
        <v>21</v>
      </c>
      <c r="G739" s="4" t="s">
        <v>1581</v>
      </c>
      <c r="H739" s="4" t="s">
        <v>31</v>
      </c>
      <c r="I739" s="4">
        <v>10</v>
      </c>
      <c r="J739" s="4" t="s">
        <v>67</v>
      </c>
      <c r="K739" s="4">
        <v>60</v>
      </c>
      <c r="L739" s="4">
        <v>4</v>
      </c>
      <c r="M739" s="4" t="s">
        <v>33</v>
      </c>
      <c r="N739" s="28">
        <f ca="1" t="shared" si="3"/>
        <v>0.354743239665497</v>
      </c>
      <c r="O739" s="4" t="s">
        <v>68</v>
      </c>
      <c r="P739" s="4">
        <v>240</v>
      </c>
      <c r="Q739" s="4">
        <v>223</v>
      </c>
      <c r="R739" s="4">
        <v>38</v>
      </c>
    </row>
    <row r="740" spans="1:18">
      <c r="A740" s="4" t="s">
        <v>1582</v>
      </c>
      <c r="B740" s="4" t="s">
        <v>1574</v>
      </c>
      <c r="C740" s="4" t="s">
        <v>130</v>
      </c>
      <c r="D740" s="27">
        <v>45256</v>
      </c>
      <c r="E740" s="4" t="s">
        <v>29</v>
      </c>
      <c r="F740" s="4" t="s">
        <v>21</v>
      </c>
      <c r="G740" s="4" t="s">
        <v>1583</v>
      </c>
      <c r="H740" s="4" t="s">
        <v>40</v>
      </c>
      <c r="I740" s="4">
        <v>9</v>
      </c>
      <c r="J740" s="4" t="s">
        <v>71</v>
      </c>
      <c r="K740" s="4">
        <v>72</v>
      </c>
      <c r="L740" s="4">
        <v>12</v>
      </c>
      <c r="M740" s="4" t="s">
        <v>33</v>
      </c>
      <c r="N740" s="28">
        <f ca="1" t="shared" si="3"/>
        <v>0.402108406909491</v>
      </c>
      <c r="O740" s="4" t="s">
        <v>26</v>
      </c>
      <c r="P740" s="4">
        <v>864</v>
      </c>
      <c r="Q740" s="4">
        <v>156</v>
      </c>
      <c r="R740" s="4">
        <v>30</v>
      </c>
    </row>
    <row r="741" spans="1:18">
      <c r="A741" s="4" t="s">
        <v>1584</v>
      </c>
      <c r="B741" s="4" t="s">
        <v>1576</v>
      </c>
      <c r="C741" s="4" t="s">
        <v>134</v>
      </c>
      <c r="D741" s="27">
        <v>45255</v>
      </c>
      <c r="E741" s="4" t="s">
        <v>37</v>
      </c>
      <c r="F741" s="4" t="s">
        <v>21</v>
      </c>
      <c r="G741" s="4" t="s">
        <v>1585</v>
      </c>
      <c r="H741" s="4" t="s">
        <v>23</v>
      </c>
      <c r="I741" s="4">
        <v>8</v>
      </c>
      <c r="J741" s="4" t="s">
        <v>75</v>
      </c>
      <c r="K741" s="4">
        <v>65</v>
      </c>
      <c r="L741" s="4">
        <v>5</v>
      </c>
      <c r="M741" s="4" t="s">
        <v>33</v>
      </c>
      <c r="N741" s="28">
        <f ca="1" t="shared" si="3"/>
        <v>0.490056328060508</v>
      </c>
      <c r="O741" s="4" t="s">
        <v>34</v>
      </c>
      <c r="P741" s="4">
        <v>325</v>
      </c>
      <c r="Q741" s="4">
        <v>84</v>
      </c>
      <c r="R741" s="4">
        <v>42</v>
      </c>
    </row>
    <row r="742" spans="1:18">
      <c r="A742" s="4" t="s">
        <v>1586</v>
      </c>
      <c r="B742" s="4" t="s">
        <v>1578</v>
      </c>
      <c r="C742" s="4" t="s">
        <v>139</v>
      </c>
      <c r="D742" s="27">
        <v>45233</v>
      </c>
      <c r="E742" s="4" t="s">
        <v>20</v>
      </c>
      <c r="F742" s="4" t="s">
        <v>21</v>
      </c>
      <c r="G742" s="4" t="s">
        <v>1587</v>
      </c>
      <c r="H742" s="4" t="s">
        <v>31</v>
      </c>
      <c r="I742" s="4">
        <v>7</v>
      </c>
      <c r="J742" s="4" t="s">
        <v>79</v>
      </c>
      <c r="K742" s="4">
        <v>250</v>
      </c>
      <c r="L742" s="4">
        <v>3</v>
      </c>
      <c r="M742" s="4" t="s">
        <v>25</v>
      </c>
      <c r="N742" s="28">
        <f ca="1" t="shared" si="3"/>
        <v>0.72747358636603</v>
      </c>
      <c r="O742" s="4" t="s">
        <v>42</v>
      </c>
      <c r="P742" s="4">
        <v>750</v>
      </c>
      <c r="Q742" s="4">
        <v>52</v>
      </c>
      <c r="R742" s="4">
        <v>95</v>
      </c>
    </row>
    <row r="743" spans="1:18">
      <c r="A743" s="4" t="s">
        <v>1588</v>
      </c>
      <c r="B743" s="4" t="s">
        <v>1580</v>
      </c>
      <c r="C743" s="4" t="s">
        <v>143</v>
      </c>
      <c r="D743" s="27">
        <v>45257</v>
      </c>
      <c r="E743" s="4" t="s">
        <v>29</v>
      </c>
      <c r="F743" s="4" t="s">
        <v>21</v>
      </c>
      <c r="G743" s="4" t="s">
        <v>1589</v>
      </c>
      <c r="H743" s="4" t="s">
        <v>40</v>
      </c>
      <c r="I743" s="4">
        <v>10</v>
      </c>
      <c r="J743" s="4" t="s">
        <v>82</v>
      </c>
      <c r="K743" s="4">
        <v>130</v>
      </c>
      <c r="L743" s="4">
        <v>2</v>
      </c>
      <c r="M743" s="4" t="s">
        <v>25</v>
      </c>
      <c r="N743" s="28">
        <f ca="1" t="shared" si="3"/>
        <v>0.813426791373661</v>
      </c>
      <c r="O743" s="4" t="s">
        <v>47</v>
      </c>
      <c r="P743" s="4">
        <v>260</v>
      </c>
      <c r="Q743" s="4">
        <v>161</v>
      </c>
      <c r="R743" s="4">
        <v>40</v>
      </c>
    </row>
    <row r="744" spans="1:18">
      <c r="A744" s="4" t="s">
        <v>1590</v>
      </c>
      <c r="B744" s="4" t="s">
        <v>1582</v>
      </c>
      <c r="C744" s="4" t="s">
        <v>146</v>
      </c>
      <c r="D744" s="27">
        <v>45234</v>
      </c>
      <c r="E744" s="4" t="s">
        <v>29</v>
      </c>
      <c r="F744" s="4" t="s">
        <v>21</v>
      </c>
      <c r="G744" s="4" t="s">
        <v>1591</v>
      </c>
      <c r="H744" s="4" t="s">
        <v>23</v>
      </c>
      <c r="I744" s="4">
        <v>7</v>
      </c>
      <c r="J744" s="4" t="s">
        <v>24</v>
      </c>
      <c r="K744" s="4">
        <v>72</v>
      </c>
      <c r="L744" s="4">
        <v>7</v>
      </c>
      <c r="M744" s="4" t="s">
        <v>25</v>
      </c>
      <c r="N744" s="28">
        <f ca="1" t="shared" si="3"/>
        <v>0.374478526062934</v>
      </c>
      <c r="O744" s="4" t="s">
        <v>26</v>
      </c>
      <c r="P744" s="4">
        <v>504</v>
      </c>
      <c r="Q744" s="4">
        <v>98</v>
      </c>
      <c r="R744" s="4">
        <v>19</v>
      </c>
    </row>
    <row r="745" spans="1:18">
      <c r="A745" s="4" t="s">
        <v>1592</v>
      </c>
      <c r="B745" s="4" t="s">
        <v>1584</v>
      </c>
      <c r="C745" s="4" t="s">
        <v>149</v>
      </c>
      <c r="D745" s="27">
        <v>45240</v>
      </c>
      <c r="E745" s="4" t="s">
        <v>20</v>
      </c>
      <c r="F745" s="4" t="s">
        <v>21</v>
      </c>
      <c r="G745" s="4" t="s">
        <v>1593</v>
      </c>
      <c r="H745" s="4" t="s">
        <v>31</v>
      </c>
      <c r="I745" s="4">
        <v>8</v>
      </c>
      <c r="J745" s="4" t="s">
        <v>32</v>
      </c>
      <c r="K745" s="4">
        <v>65</v>
      </c>
      <c r="L745" s="4">
        <v>12</v>
      </c>
      <c r="M745" s="4" t="s">
        <v>33</v>
      </c>
      <c r="N745" s="28">
        <f ca="1" t="shared" si="3"/>
        <v>0.76378998711753</v>
      </c>
      <c r="O745" s="4" t="s">
        <v>34</v>
      </c>
      <c r="P745" s="4">
        <v>780</v>
      </c>
      <c r="Q745" s="4">
        <v>363</v>
      </c>
      <c r="R745" s="4">
        <v>24</v>
      </c>
    </row>
    <row r="746" spans="1:18">
      <c r="A746" s="4" t="s">
        <v>1594</v>
      </c>
      <c r="B746" s="4" t="s">
        <v>1586</v>
      </c>
      <c r="C746" s="4" t="s">
        <v>203</v>
      </c>
      <c r="D746" s="27">
        <v>45257</v>
      </c>
      <c r="E746" s="4" t="s">
        <v>29</v>
      </c>
      <c r="F746" s="4" t="s">
        <v>21</v>
      </c>
      <c r="G746" s="4" t="s">
        <v>1595</v>
      </c>
      <c r="H746" s="4" t="s">
        <v>40</v>
      </c>
      <c r="I746" s="4">
        <v>9</v>
      </c>
      <c r="J746" s="4" t="s">
        <v>41</v>
      </c>
      <c r="K746" s="4">
        <v>250</v>
      </c>
      <c r="L746" s="4">
        <v>3</v>
      </c>
      <c r="M746" s="4" t="s">
        <v>33</v>
      </c>
      <c r="N746" s="28">
        <f ca="1" t="shared" si="3"/>
        <v>0.238476854362487</v>
      </c>
      <c r="O746" s="4" t="s">
        <v>42</v>
      </c>
      <c r="P746" s="4">
        <v>750</v>
      </c>
      <c r="Q746" s="4">
        <v>729</v>
      </c>
      <c r="R746" s="4">
        <v>160</v>
      </c>
    </row>
    <row r="747" spans="1:18">
      <c r="A747" s="4" t="s">
        <v>1596</v>
      </c>
      <c r="B747" s="4" t="s">
        <v>1588</v>
      </c>
      <c r="C747" s="4" t="s">
        <v>28</v>
      </c>
      <c r="D747" s="27">
        <v>45255</v>
      </c>
      <c r="E747" s="4" t="s">
        <v>20</v>
      </c>
      <c r="F747" s="4" t="s">
        <v>21</v>
      </c>
      <c r="G747" s="4" t="s">
        <v>1597</v>
      </c>
      <c r="H747" s="4" t="s">
        <v>23</v>
      </c>
      <c r="I747" s="4">
        <v>9</v>
      </c>
      <c r="J747" s="4" t="s">
        <v>46</v>
      </c>
      <c r="K747" s="4">
        <v>130</v>
      </c>
      <c r="L747" s="4">
        <v>4</v>
      </c>
      <c r="M747" s="4" t="s">
        <v>33</v>
      </c>
      <c r="N747" s="28">
        <f ca="1" t="shared" si="3"/>
        <v>0.863594589634603</v>
      </c>
      <c r="O747" s="4" t="s">
        <v>47</v>
      </c>
      <c r="P747" s="4">
        <v>520</v>
      </c>
      <c r="Q747" s="4">
        <v>229</v>
      </c>
      <c r="R747" s="4">
        <v>65</v>
      </c>
    </row>
    <row r="748" spans="1:18">
      <c r="A748" s="4" t="s">
        <v>1598</v>
      </c>
      <c r="B748" s="4" t="s">
        <v>1590</v>
      </c>
      <c r="C748" s="4" t="s">
        <v>36</v>
      </c>
      <c r="D748" s="27">
        <v>45251</v>
      </c>
      <c r="E748" s="4" t="s">
        <v>29</v>
      </c>
      <c r="F748" s="4" t="s">
        <v>21</v>
      </c>
      <c r="G748" s="4" t="s">
        <v>1599</v>
      </c>
      <c r="H748" s="4" t="s">
        <v>31</v>
      </c>
      <c r="I748" s="4">
        <v>9</v>
      </c>
      <c r="J748" s="4" t="s">
        <v>51</v>
      </c>
      <c r="K748" s="4">
        <v>60</v>
      </c>
      <c r="L748" s="4">
        <v>8</v>
      </c>
      <c r="M748" s="4" t="s">
        <v>33</v>
      </c>
      <c r="N748" s="28">
        <f ca="1" t="shared" si="3"/>
        <v>0.961944648186681</v>
      </c>
      <c r="O748" s="4" t="s">
        <v>68</v>
      </c>
      <c r="P748" s="4">
        <v>480</v>
      </c>
      <c r="Q748" s="4">
        <v>250</v>
      </c>
      <c r="R748" s="4">
        <v>20</v>
      </c>
    </row>
    <row r="749" spans="1:18">
      <c r="A749" s="4" t="s">
        <v>1600</v>
      </c>
      <c r="B749" s="4" t="s">
        <v>1592</v>
      </c>
      <c r="C749" s="4" t="s">
        <v>44</v>
      </c>
      <c r="D749" s="27">
        <v>45250</v>
      </c>
      <c r="E749" s="4" t="s">
        <v>29</v>
      </c>
      <c r="F749" s="4" t="s">
        <v>21</v>
      </c>
      <c r="G749" s="4" t="s">
        <v>1601</v>
      </c>
      <c r="H749" s="4" t="s">
        <v>40</v>
      </c>
      <c r="I749" s="4">
        <v>9</v>
      </c>
      <c r="J749" s="4" t="s">
        <v>55</v>
      </c>
      <c r="K749" s="4">
        <v>95</v>
      </c>
      <c r="L749" s="4">
        <v>3</v>
      </c>
      <c r="M749" s="4" t="s">
        <v>33</v>
      </c>
      <c r="N749" s="28">
        <f ca="1" t="shared" si="3"/>
        <v>0.0789113120677916</v>
      </c>
      <c r="O749" s="4" t="s">
        <v>104</v>
      </c>
      <c r="P749" s="4">
        <v>285</v>
      </c>
      <c r="Q749" s="4">
        <v>7</v>
      </c>
      <c r="R749" s="4">
        <v>46</v>
      </c>
    </row>
    <row r="750" spans="1:18">
      <c r="A750" s="4" t="s">
        <v>1602</v>
      </c>
      <c r="B750" s="4" t="s">
        <v>1594</v>
      </c>
      <c r="C750" s="4" t="s">
        <v>49</v>
      </c>
      <c r="D750" s="27">
        <v>45238</v>
      </c>
      <c r="E750" s="4" t="s">
        <v>20</v>
      </c>
      <c r="F750" s="4" t="s">
        <v>21</v>
      </c>
      <c r="G750" s="4" t="s">
        <v>1603</v>
      </c>
      <c r="H750" s="4" t="s">
        <v>23</v>
      </c>
      <c r="I750" s="4">
        <v>9</v>
      </c>
      <c r="J750" s="4" t="s">
        <v>58</v>
      </c>
      <c r="K750" s="4">
        <v>72</v>
      </c>
      <c r="L750" s="4">
        <v>8</v>
      </c>
      <c r="M750" s="4" t="s">
        <v>33</v>
      </c>
      <c r="N750" s="28">
        <f ca="1" t="shared" si="3"/>
        <v>0.859538767605047</v>
      </c>
      <c r="O750" s="4" t="s">
        <v>26</v>
      </c>
      <c r="P750" s="4">
        <v>576</v>
      </c>
      <c r="Q750" s="4">
        <v>414</v>
      </c>
      <c r="R750" s="4">
        <v>25</v>
      </c>
    </row>
    <row r="751" spans="1:18">
      <c r="A751" s="4" t="s">
        <v>1604</v>
      </c>
      <c r="B751" s="4" t="s">
        <v>1596</v>
      </c>
      <c r="C751" s="4" t="s">
        <v>53</v>
      </c>
      <c r="D751" s="27">
        <v>45232</v>
      </c>
      <c r="E751" s="4" t="s">
        <v>29</v>
      </c>
      <c r="F751" s="4" t="s">
        <v>21</v>
      </c>
      <c r="G751" s="4" t="s">
        <v>1605</v>
      </c>
      <c r="H751" s="4" t="s">
        <v>23</v>
      </c>
      <c r="I751" s="4">
        <v>7</v>
      </c>
      <c r="J751" s="4" t="s">
        <v>63</v>
      </c>
      <c r="K751" s="4">
        <v>65</v>
      </c>
      <c r="L751" s="4">
        <v>12</v>
      </c>
      <c r="M751" s="4" t="s">
        <v>33</v>
      </c>
      <c r="N751" s="28">
        <f ca="1" t="shared" si="3"/>
        <v>0.401059042826032</v>
      </c>
      <c r="O751" s="4" t="s">
        <v>34</v>
      </c>
      <c r="P751" s="4">
        <v>780</v>
      </c>
      <c r="Q751" s="4">
        <v>644</v>
      </c>
      <c r="R751" s="4">
        <v>31</v>
      </c>
    </row>
    <row r="752" spans="1:18">
      <c r="A752" s="4" t="s">
        <v>1606</v>
      </c>
      <c r="B752" s="4" t="s">
        <v>1598</v>
      </c>
      <c r="C752" s="4" t="s">
        <v>203</v>
      </c>
      <c r="D752" s="27">
        <v>45247</v>
      </c>
      <c r="E752" s="4" t="s">
        <v>20</v>
      </c>
      <c r="F752" s="4" t="s">
        <v>21</v>
      </c>
      <c r="G752" s="4" t="s">
        <v>1607</v>
      </c>
      <c r="H752" s="4" t="s">
        <v>23</v>
      </c>
      <c r="I752" s="4">
        <v>9</v>
      </c>
      <c r="J752" s="4" t="s">
        <v>67</v>
      </c>
      <c r="K752" s="4">
        <v>250</v>
      </c>
      <c r="L752" s="4">
        <v>3</v>
      </c>
      <c r="M752" s="4" t="s">
        <v>25</v>
      </c>
      <c r="N752" s="28">
        <f ca="1" t="shared" si="3"/>
        <v>0.487054111273711</v>
      </c>
      <c r="O752" s="4" t="s">
        <v>42</v>
      </c>
      <c r="P752" s="4">
        <v>750</v>
      </c>
      <c r="Q752" s="4">
        <v>185</v>
      </c>
      <c r="R752" s="4">
        <v>160</v>
      </c>
    </row>
    <row r="753" spans="1:18">
      <c r="A753" s="4" t="s">
        <v>1608</v>
      </c>
      <c r="B753" s="4" t="s">
        <v>1600</v>
      </c>
      <c r="C753" s="4" t="s">
        <v>28</v>
      </c>
      <c r="D753" s="27">
        <v>45240</v>
      </c>
      <c r="E753" s="4" t="s">
        <v>29</v>
      </c>
      <c r="F753" s="4" t="s">
        <v>21</v>
      </c>
      <c r="G753" s="4" t="s">
        <v>1609</v>
      </c>
      <c r="H753" s="4" t="s">
        <v>31</v>
      </c>
      <c r="I753" s="4">
        <v>7</v>
      </c>
      <c r="J753" s="4" t="s">
        <v>71</v>
      </c>
      <c r="K753" s="4">
        <v>130</v>
      </c>
      <c r="L753" s="4">
        <v>4</v>
      </c>
      <c r="M753" s="4" t="s">
        <v>25</v>
      </c>
      <c r="N753" s="28">
        <f ca="1" t="shared" si="3"/>
        <v>0.867263488170466</v>
      </c>
      <c r="O753" s="4" t="s">
        <v>47</v>
      </c>
      <c r="P753" s="4">
        <v>520</v>
      </c>
      <c r="Q753" s="4">
        <v>275</v>
      </c>
      <c r="R753" s="4">
        <v>48</v>
      </c>
    </row>
    <row r="754" spans="1:18">
      <c r="A754" s="4" t="s">
        <v>1610</v>
      </c>
      <c r="B754" s="4" t="s">
        <v>1602</v>
      </c>
      <c r="C754" s="4" t="s">
        <v>36</v>
      </c>
      <c r="D754" s="27">
        <v>45242</v>
      </c>
      <c r="E754" s="4" t="s">
        <v>37</v>
      </c>
      <c r="F754" s="4" t="s">
        <v>38</v>
      </c>
      <c r="G754" s="4" t="s">
        <v>1611</v>
      </c>
      <c r="H754" s="4" t="s">
        <v>40</v>
      </c>
      <c r="I754" s="4">
        <v>8</v>
      </c>
      <c r="J754" s="4" t="s">
        <v>75</v>
      </c>
      <c r="K754" s="4">
        <v>72</v>
      </c>
      <c r="L754" s="4">
        <v>11</v>
      </c>
      <c r="M754" s="4" t="s">
        <v>25</v>
      </c>
      <c r="N754" s="28">
        <f ca="1" t="shared" si="3"/>
        <v>0.69787059034563</v>
      </c>
      <c r="O754" s="4" t="s">
        <v>26</v>
      </c>
      <c r="P754" s="4">
        <v>792</v>
      </c>
      <c r="Q754" s="4">
        <v>413</v>
      </c>
      <c r="R754" s="4">
        <v>46</v>
      </c>
    </row>
    <row r="755" spans="1:18">
      <c r="A755" s="4" t="s">
        <v>1612</v>
      </c>
      <c r="B755" s="4" t="s">
        <v>1604</v>
      </c>
      <c r="C755" s="4" t="s">
        <v>44</v>
      </c>
      <c r="D755" s="27">
        <v>45233</v>
      </c>
      <c r="E755" s="4" t="s">
        <v>20</v>
      </c>
      <c r="F755" s="4" t="s">
        <v>21</v>
      </c>
      <c r="G755" s="4" t="s">
        <v>1613</v>
      </c>
      <c r="H755" s="4" t="s">
        <v>23</v>
      </c>
      <c r="I755" s="4">
        <v>6</v>
      </c>
      <c r="J755" s="4" t="s">
        <v>79</v>
      </c>
      <c r="K755" s="4">
        <v>65</v>
      </c>
      <c r="L755" s="4">
        <v>9</v>
      </c>
      <c r="M755" s="4" t="s">
        <v>33</v>
      </c>
      <c r="N755" s="28">
        <f ca="1" t="shared" si="3"/>
        <v>0.195856417099266</v>
      </c>
      <c r="O755" s="4" t="s">
        <v>34</v>
      </c>
      <c r="P755" s="4">
        <v>585</v>
      </c>
      <c r="Q755" s="4">
        <v>255</v>
      </c>
      <c r="R755" s="4">
        <v>40</v>
      </c>
    </row>
    <row r="756" spans="1:18">
      <c r="A756" s="4" t="s">
        <v>1614</v>
      </c>
      <c r="B756" s="4" t="s">
        <v>1606</v>
      </c>
      <c r="C756" s="4" t="s">
        <v>49</v>
      </c>
      <c r="D756" s="27">
        <v>45237</v>
      </c>
      <c r="E756" s="4" t="s">
        <v>29</v>
      </c>
      <c r="F756" s="4" t="s">
        <v>21</v>
      </c>
      <c r="G756" s="4" t="s">
        <v>1615</v>
      </c>
      <c r="H756" s="4" t="s">
        <v>31</v>
      </c>
      <c r="I756" s="4">
        <v>2</v>
      </c>
      <c r="J756" s="4" t="s">
        <v>82</v>
      </c>
      <c r="K756" s="4">
        <v>250</v>
      </c>
      <c r="L756" s="4">
        <v>3</v>
      </c>
      <c r="M756" s="4" t="s">
        <v>33</v>
      </c>
      <c r="N756" s="28">
        <f ca="1" t="shared" si="3"/>
        <v>0.83983170068628</v>
      </c>
      <c r="O756" s="4" t="s">
        <v>42</v>
      </c>
      <c r="P756" s="4">
        <v>750</v>
      </c>
      <c r="Q756" s="4">
        <v>279</v>
      </c>
      <c r="R756" s="4">
        <v>160</v>
      </c>
    </row>
    <row r="757" spans="1:18">
      <c r="A757" s="4" t="s">
        <v>1616</v>
      </c>
      <c r="B757" s="4" t="s">
        <v>1608</v>
      </c>
      <c r="C757" s="4" t="s">
        <v>53</v>
      </c>
      <c r="D757" s="27">
        <v>45236</v>
      </c>
      <c r="E757" s="4" t="s">
        <v>29</v>
      </c>
      <c r="F757" s="4" t="s">
        <v>21</v>
      </c>
      <c r="G757" s="4" t="s">
        <v>1617</v>
      </c>
      <c r="H757" s="4" t="s">
        <v>40</v>
      </c>
      <c r="I757" s="4">
        <v>4</v>
      </c>
      <c r="J757" s="4" t="s">
        <v>24</v>
      </c>
      <c r="K757" s="4">
        <v>130</v>
      </c>
      <c r="L757" s="4">
        <v>3</v>
      </c>
      <c r="M757" s="4" t="s">
        <v>33</v>
      </c>
      <c r="N757" s="28">
        <f ca="1" t="shared" si="3"/>
        <v>0.721932324734418</v>
      </c>
      <c r="O757" s="4" t="s">
        <v>47</v>
      </c>
      <c r="P757" s="4">
        <v>390</v>
      </c>
      <c r="Q757" s="4">
        <v>355</v>
      </c>
      <c r="R757" s="4">
        <v>79</v>
      </c>
    </row>
    <row r="758" spans="1:18">
      <c r="A758" s="4" t="s">
        <v>1618</v>
      </c>
      <c r="B758" s="4" t="s">
        <v>1610</v>
      </c>
      <c r="C758" s="4" t="s">
        <v>61</v>
      </c>
      <c r="D758" s="27">
        <v>45241</v>
      </c>
      <c r="E758" s="4" t="s">
        <v>20</v>
      </c>
      <c r="F758" s="4" t="s">
        <v>21</v>
      </c>
      <c r="G758" s="4" t="s">
        <v>1619</v>
      </c>
      <c r="H758" s="4" t="s">
        <v>23</v>
      </c>
      <c r="I758" s="4">
        <v>1</v>
      </c>
      <c r="J758" s="4" t="s">
        <v>32</v>
      </c>
      <c r="K758" s="4">
        <v>60</v>
      </c>
      <c r="L758" s="4">
        <v>13</v>
      </c>
      <c r="M758" s="4" t="s">
        <v>33</v>
      </c>
      <c r="N758" s="28">
        <f ca="1" t="shared" ref="N758:N795" si="4" xml:space="preserve">RAND()</f>
        <v>0.943492753553632</v>
      </c>
      <c r="O758" s="4" t="s">
        <v>68</v>
      </c>
      <c r="P758" s="4">
        <v>780</v>
      </c>
      <c r="Q758" s="4">
        <v>151</v>
      </c>
      <c r="R758" s="4">
        <v>33</v>
      </c>
    </row>
    <row r="759" spans="1:18">
      <c r="A759" s="4" t="s">
        <v>1620</v>
      </c>
      <c r="B759" s="4" t="s">
        <v>1612</v>
      </c>
      <c r="C759" s="4" t="s">
        <v>61</v>
      </c>
      <c r="D759" s="27">
        <v>45241</v>
      </c>
      <c r="E759" s="4" t="s">
        <v>29</v>
      </c>
      <c r="F759" s="4" t="s">
        <v>21</v>
      </c>
      <c r="G759" s="4" t="s">
        <v>1621</v>
      </c>
      <c r="H759" s="4" t="s">
        <v>31</v>
      </c>
      <c r="I759" s="4">
        <v>9</v>
      </c>
      <c r="J759" s="4" t="s">
        <v>41</v>
      </c>
      <c r="K759" s="4">
        <v>72</v>
      </c>
      <c r="L759" s="4">
        <v>12</v>
      </c>
      <c r="M759" s="4" t="s">
        <v>33</v>
      </c>
      <c r="N759" s="28">
        <f ca="1" t="shared" si="4"/>
        <v>0.104696447636669</v>
      </c>
      <c r="O759" s="4" t="s">
        <v>26</v>
      </c>
      <c r="P759" s="4">
        <v>864</v>
      </c>
      <c r="Q759" s="4">
        <v>676</v>
      </c>
      <c r="R759" s="4">
        <v>45</v>
      </c>
    </row>
    <row r="760" spans="1:18">
      <c r="A760" s="4" t="s">
        <v>1622</v>
      </c>
      <c r="B760" s="4" t="s">
        <v>1614</v>
      </c>
      <c r="C760" s="4" t="s">
        <v>65</v>
      </c>
      <c r="D760" s="27">
        <v>45250</v>
      </c>
      <c r="E760" s="4" t="s">
        <v>29</v>
      </c>
      <c r="F760" s="4" t="s">
        <v>38</v>
      </c>
      <c r="G760" s="4" t="s">
        <v>1623</v>
      </c>
      <c r="H760" s="4" t="s">
        <v>40</v>
      </c>
      <c r="I760" s="4">
        <v>6</v>
      </c>
      <c r="J760" s="4" t="s">
        <v>46</v>
      </c>
      <c r="K760" s="4">
        <v>65</v>
      </c>
      <c r="L760" s="4">
        <v>5</v>
      </c>
      <c r="M760" s="4" t="s">
        <v>33</v>
      </c>
      <c r="N760" s="28">
        <f ca="1" t="shared" si="4"/>
        <v>0.529965833302545</v>
      </c>
      <c r="O760" s="4" t="s">
        <v>34</v>
      </c>
      <c r="P760" s="4">
        <v>325</v>
      </c>
      <c r="Q760" s="4">
        <v>24</v>
      </c>
      <c r="R760" s="4">
        <v>22</v>
      </c>
    </row>
    <row r="761" spans="1:18">
      <c r="A761" s="4" t="s">
        <v>1624</v>
      </c>
      <c r="B761" s="4" t="s">
        <v>1616</v>
      </c>
      <c r="C761" s="4" t="s">
        <v>53</v>
      </c>
      <c r="D761" s="27">
        <v>45250</v>
      </c>
      <c r="E761" s="4" t="s">
        <v>20</v>
      </c>
      <c r="F761" s="4" t="s">
        <v>21</v>
      </c>
      <c r="G761" s="4" t="s">
        <v>1625</v>
      </c>
      <c r="H761" s="4" t="s">
        <v>23</v>
      </c>
      <c r="I761" s="4">
        <v>9</v>
      </c>
      <c r="J761" s="4" t="s">
        <v>51</v>
      </c>
      <c r="K761" s="4">
        <v>250</v>
      </c>
      <c r="L761" s="4">
        <v>3</v>
      </c>
      <c r="M761" s="4" t="s">
        <v>25</v>
      </c>
      <c r="N761" s="28">
        <f ca="1" t="shared" si="4"/>
        <v>0.634013943732808</v>
      </c>
      <c r="O761" s="4" t="s">
        <v>42</v>
      </c>
      <c r="P761" s="4">
        <v>750</v>
      </c>
      <c r="Q761" s="4">
        <v>239</v>
      </c>
      <c r="R761" s="4">
        <v>103</v>
      </c>
    </row>
    <row r="762" spans="1:18">
      <c r="A762" s="4" t="s">
        <v>1626</v>
      </c>
      <c r="B762" s="4" t="s">
        <v>1618</v>
      </c>
      <c r="C762" s="4" t="s">
        <v>73</v>
      </c>
      <c r="D762" s="27">
        <v>45247</v>
      </c>
      <c r="E762" s="4" t="s">
        <v>29</v>
      </c>
      <c r="F762" s="4" t="s">
        <v>21</v>
      </c>
      <c r="G762" s="4" t="s">
        <v>1627</v>
      </c>
      <c r="H762" s="4" t="s">
        <v>31</v>
      </c>
      <c r="I762" s="4">
        <v>9</v>
      </c>
      <c r="J762" s="4" t="s">
        <v>55</v>
      </c>
      <c r="K762" s="4">
        <v>130</v>
      </c>
      <c r="L762" s="4">
        <v>5</v>
      </c>
      <c r="M762" s="4" t="s">
        <v>33</v>
      </c>
      <c r="N762" s="28">
        <f ca="1" t="shared" si="4"/>
        <v>0.44118475188979</v>
      </c>
      <c r="O762" s="4" t="s">
        <v>47</v>
      </c>
      <c r="P762" s="4">
        <v>650</v>
      </c>
      <c r="Q762" s="4">
        <v>383</v>
      </c>
      <c r="R762" s="4">
        <v>56</v>
      </c>
    </row>
    <row r="763" spans="1:18">
      <c r="A763" s="4" t="s">
        <v>1628</v>
      </c>
      <c r="B763" s="4" t="s">
        <v>1620</v>
      </c>
      <c r="C763" s="4" t="s">
        <v>77</v>
      </c>
      <c r="D763" s="27">
        <v>45242</v>
      </c>
      <c r="E763" s="4" t="s">
        <v>37</v>
      </c>
      <c r="F763" s="4" t="s">
        <v>21</v>
      </c>
      <c r="G763" s="4" t="s">
        <v>1629</v>
      </c>
      <c r="H763" s="4" t="s">
        <v>40</v>
      </c>
      <c r="I763" s="4">
        <v>3</v>
      </c>
      <c r="J763" s="4" t="s">
        <v>58</v>
      </c>
      <c r="K763" s="4">
        <v>72</v>
      </c>
      <c r="L763" s="4">
        <v>8</v>
      </c>
      <c r="M763" s="4" t="s">
        <v>25</v>
      </c>
      <c r="N763" s="28">
        <f ca="1" t="shared" si="4"/>
        <v>0.253349652550762</v>
      </c>
      <c r="O763" s="4" t="s">
        <v>26</v>
      </c>
      <c r="P763" s="4">
        <v>576</v>
      </c>
      <c r="Q763" s="4">
        <v>77</v>
      </c>
      <c r="R763" s="4">
        <v>46</v>
      </c>
    </row>
    <row r="764" spans="1:18">
      <c r="A764" s="4" t="s">
        <v>1630</v>
      </c>
      <c r="B764" s="4" t="s">
        <v>1622</v>
      </c>
      <c r="C764" s="4" t="s">
        <v>229</v>
      </c>
      <c r="D764" s="27">
        <v>45245</v>
      </c>
      <c r="E764" s="4" t="s">
        <v>20</v>
      </c>
      <c r="F764" s="4" t="s">
        <v>21</v>
      </c>
      <c r="G764" s="4" t="s">
        <v>1631</v>
      </c>
      <c r="H764" s="4" t="s">
        <v>23</v>
      </c>
      <c r="I764" s="4">
        <v>2</v>
      </c>
      <c r="J764" s="4" t="s">
        <v>63</v>
      </c>
      <c r="K764" s="4">
        <v>65</v>
      </c>
      <c r="L764" s="4">
        <v>4</v>
      </c>
      <c r="M764" s="4" t="s">
        <v>33</v>
      </c>
      <c r="N764" s="28">
        <f ca="1" t="shared" si="4"/>
        <v>0.995731254774665</v>
      </c>
      <c r="O764" s="4" t="s">
        <v>34</v>
      </c>
      <c r="P764" s="4">
        <v>260</v>
      </c>
      <c r="Q764" s="4">
        <v>205</v>
      </c>
      <c r="R764" s="4">
        <v>39</v>
      </c>
    </row>
    <row r="765" spans="1:18">
      <c r="A765" s="4" t="s">
        <v>1632</v>
      </c>
      <c r="B765" s="4" t="s">
        <v>1624</v>
      </c>
      <c r="C765" s="4" t="s">
        <v>84</v>
      </c>
      <c r="D765" s="27">
        <v>45245</v>
      </c>
      <c r="E765" s="4" t="s">
        <v>29</v>
      </c>
      <c r="F765" s="4" t="s">
        <v>21</v>
      </c>
      <c r="G765" s="4" t="s">
        <v>1633</v>
      </c>
      <c r="H765" s="4" t="s">
        <v>31</v>
      </c>
      <c r="I765" s="4">
        <v>3</v>
      </c>
      <c r="J765" s="4" t="s">
        <v>67</v>
      </c>
      <c r="K765" s="4">
        <v>250</v>
      </c>
      <c r="L765" s="4">
        <v>3</v>
      </c>
      <c r="M765" s="4" t="s">
        <v>25</v>
      </c>
      <c r="N765" s="28">
        <f ca="1" t="shared" si="4"/>
        <v>0.23555245603015</v>
      </c>
      <c r="O765" s="4" t="s">
        <v>42</v>
      </c>
      <c r="P765" s="4">
        <v>750</v>
      </c>
      <c r="Q765" s="4">
        <v>87</v>
      </c>
      <c r="R765" s="4">
        <v>93</v>
      </c>
    </row>
    <row r="766" spans="1:18">
      <c r="A766" s="4" t="s">
        <v>1634</v>
      </c>
      <c r="B766" s="4" t="s">
        <v>1626</v>
      </c>
      <c r="C766" s="4" t="s">
        <v>53</v>
      </c>
      <c r="D766" s="27">
        <v>45254</v>
      </c>
      <c r="E766" s="4" t="s">
        <v>37</v>
      </c>
      <c r="F766" s="4" t="s">
        <v>38</v>
      </c>
      <c r="G766" s="4" t="s">
        <v>1635</v>
      </c>
      <c r="H766" s="4" t="s">
        <v>40</v>
      </c>
      <c r="I766" s="4">
        <v>10</v>
      </c>
      <c r="J766" s="4" t="s">
        <v>71</v>
      </c>
      <c r="K766" s="4">
        <v>130</v>
      </c>
      <c r="L766" s="4">
        <v>7</v>
      </c>
      <c r="M766" s="4" t="s">
        <v>33</v>
      </c>
      <c r="N766" s="28">
        <f ca="1" t="shared" si="4"/>
        <v>0.854377373314036</v>
      </c>
      <c r="O766" s="4" t="s">
        <v>47</v>
      </c>
      <c r="P766" s="4">
        <v>910</v>
      </c>
      <c r="Q766" s="4">
        <v>536</v>
      </c>
      <c r="R766" s="4">
        <v>33</v>
      </c>
    </row>
    <row r="767" spans="1:18">
      <c r="A767" s="4" t="s">
        <v>1636</v>
      </c>
      <c r="B767" s="4" t="s">
        <v>1628</v>
      </c>
      <c r="C767" s="4" t="s">
        <v>91</v>
      </c>
      <c r="D767" s="27">
        <v>45247</v>
      </c>
      <c r="E767" s="4" t="s">
        <v>20</v>
      </c>
      <c r="F767" s="4" t="s">
        <v>21</v>
      </c>
      <c r="G767" s="4" t="s">
        <v>1637</v>
      </c>
      <c r="H767" s="4" t="s">
        <v>23</v>
      </c>
      <c r="I767" s="4">
        <v>3</v>
      </c>
      <c r="J767" s="4" t="s">
        <v>75</v>
      </c>
      <c r="K767" s="4">
        <v>60</v>
      </c>
      <c r="L767" s="4">
        <v>7</v>
      </c>
      <c r="M767" s="4" t="s">
        <v>25</v>
      </c>
      <c r="N767" s="28">
        <f ca="1" t="shared" si="4"/>
        <v>0.787937620053184</v>
      </c>
      <c r="O767" s="4" t="s">
        <v>68</v>
      </c>
      <c r="P767" s="4">
        <v>420</v>
      </c>
      <c r="Q767" s="4">
        <v>71</v>
      </c>
      <c r="R767" s="4">
        <v>23</v>
      </c>
    </row>
    <row r="768" spans="1:18">
      <c r="A768" s="4" t="s">
        <v>1638</v>
      </c>
      <c r="B768" s="4" t="s">
        <v>1630</v>
      </c>
      <c r="C768" s="4" t="s">
        <v>77</v>
      </c>
      <c r="D768" s="27">
        <v>45246</v>
      </c>
      <c r="E768" s="4" t="s">
        <v>29</v>
      </c>
      <c r="F768" s="4" t="s">
        <v>21</v>
      </c>
      <c r="G768" s="4" t="s">
        <v>1639</v>
      </c>
      <c r="H768" s="4" t="s">
        <v>31</v>
      </c>
      <c r="I768" s="4">
        <v>1</v>
      </c>
      <c r="J768" s="4" t="s">
        <v>79</v>
      </c>
      <c r="K768" s="4">
        <v>95</v>
      </c>
      <c r="L768" s="4">
        <v>7</v>
      </c>
      <c r="M768" s="4" t="s">
        <v>33</v>
      </c>
      <c r="N768" s="28">
        <f ca="1" t="shared" si="4"/>
        <v>0.826859689687566</v>
      </c>
      <c r="O768" s="4" t="s">
        <v>104</v>
      </c>
      <c r="P768" s="4">
        <v>665</v>
      </c>
      <c r="Q768" s="4">
        <v>385</v>
      </c>
      <c r="R768" s="4">
        <v>39</v>
      </c>
    </row>
    <row r="769" spans="1:18">
      <c r="A769" s="4" t="s">
        <v>1640</v>
      </c>
      <c r="B769" s="4" t="s">
        <v>1632</v>
      </c>
      <c r="C769" s="4" t="s">
        <v>49</v>
      </c>
      <c r="D769" s="27">
        <v>45243</v>
      </c>
      <c r="E769" s="4" t="s">
        <v>37</v>
      </c>
      <c r="F769" s="4" t="s">
        <v>21</v>
      </c>
      <c r="G769" s="4" t="s">
        <v>1641</v>
      </c>
      <c r="H769" s="4" t="s">
        <v>40</v>
      </c>
      <c r="I769" s="4">
        <v>5</v>
      </c>
      <c r="J769" s="4" t="s">
        <v>82</v>
      </c>
      <c r="K769" s="4">
        <v>72</v>
      </c>
      <c r="L769" s="4">
        <v>5</v>
      </c>
      <c r="M769" s="4" t="s">
        <v>25</v>
      </c>
      <c r="N769" s="28">
        <f ca="1" t="shared" si="4"/>
        <v>0.53048088562922</v>
      </c>
      <c r="O769" s="4" t="s">
        <v>26</v>
      </c>
      <c r="P769" s="4">
        <v>360</v>
      </c>
      <c r="Q769" s="4">
        <v>64</v>
      </c>
      <c r="R769" s="4">
        <v>26</v>
      </c>
    </row>
    <row r="770" spans="1:18">
      <c r="A770" s="4" t="s">
        <v>1642</v>
      </c>
      <c r="B770" s="4" t="s">
        <v>1634</v>
      </c>
      <c r="C770" s="4" t="s">
        <v>101</v>
      </c>
      <c r="D770" s="27">
        <v>45234</v>
      </c>
      <c r="E770" s="4" t="s">
        <v>20</v>
      </c>
      <c r="F770" s="4" t="s">
        <v>21</v>
      </c>
      <c r="G770" s="4" t="s">
        <v>1643</v>
      </c>
      <c r="H770" s="4" t="s">
        <v>23</v>
      </c>
      <c r="I770" s="4">
        <v>1</v>
      </c>
      <c r="J770" s="4" t="s">
        <v>24</v>
      </c>
      <c r="K770" s="4">
        <v>65</v>
      </c>
      <c r="L770" s="4">
        <v>6</v>
      </c>
      <c r="M770" s="4" t="s">
        <v>33</v>
      </c>
      <c r="N770" s="28">
        <f ca="1" t="shared" si="4"/>
        <v>0.649897108185382</v>
      </c>
      <c r="O770" s="4" t="s">
        <v>34</v>
      </c>
      <c r="P770" s="4">
        <v>390</v>
      </c>
      <c r="Q770" s="4">
        <v>227</v>
      </c>
      <c r="R770" s="4">
        <v>40</v>
      </c>
    </row>
    <row r="771" spans="1:18">
      <c r="A771" s="4" t="s">
        <v>1644</v>
      </c>
      <c r="B771" s="4" t="s">
        <v>1636</v>
      </c>
      <c r="C771" s="4" t="s">
        <v>106</v>
      </c>
      <c r="D771" s="27">
        <v>45248</v>
      </c>
      <c r="E771" s="4" t="s">
        <v>29</v>
      </c>
      <c r="F771" s="4" t="s">
        <v>21</v>
      </c>
      <c r="G771" s="4" t="s">
        <v>1645</v>
      </c>
      <c r="H771" s="4" t="s">
        <v>31</v>
      </c>
      <c r="I771" s="4">
        <v>5</v>
      </c>
      <c r="J771" s="4" t="s">
        <v>32</v>
      </c>
      <c r="K771" s="4">
        <v>250</v>
      </c>
      <c r="L771" s="4">
        <v>2</v>
      </c>
      <c r="M771" s="4" t="s">
        <v>25</v>
      </c>
      <c r="N771" s="28">
        <f ca="1" t="shared" si="4"/>
        <v>0.814297430098057</v>
      </c>
      <c r="O771" s="4" t="s">
        <v>42</v>
      </c>
      <c r="P771" s="4">
        <v>500</v>
      </c>
      <c r="Q771" s="4">
        <v>406</v>
      </c>
      <c r="R771" s="4">
        <v>118</v>
      </c>
    </row>
    <row r="772" spans="1:18">
      <c r="A772" s="4" t="s">
        <v>1646</v>
      </c>
      <c r="B772" s="4" t="s">
        <v>1638</v>
      </c>
      <c r="C772" s="4" t="s">
        <v>110</v>
      </c>
      <c r="D772" s="27">
        <v>45236</v>
      </c>
      <c r="E772" s="4" t="s">
        <v>29</v>
      </c>
      <c r="F772" s="4" t="s">
        <v>38</v>
      </c>
      <c r="G772" s="4" t="s">
        <v>1647</v>
      </c>
      <c r="H772" s="4" t="s">
        <v>40</v>
      </c>
      <c r="I772" s="4">
        <v>5</v>
      </c>
      <c r="J772" s="4" t="s">
        <v>41</v>
      </c>
      <c r="K772" s="4">
        <v>130</v>
      </c>
      <c r="L772" s="4">
        <v>2</v>
      </c>
      <c r="M772" s="4" t="s">
        <v>33</v>
      </c>
      <c r="N772" s="28">
        <f ca="1" t="shared" si="4"/>
        <v>0.560627893359451</v>
      </c>
      <c r="O772" s="4" t="s">
        <v>47</v>
      </c>
      <c r="P772" s="4">
        <v>260</v>
      </c>
      <c r="Q772" s="4">
        <v>246</v>
      </c>
      <c r="R772" s="4">
        <v>40</v>
      </c>
    </row>
    <row r="773" spans="1:18">
      <c r="A773" s="4" t="s">
        <v>1648</v>
      </c>
      <c r="B773" s="4" t="s">
        <v>1640</v>
      </c>
      <c r="C773" s="4" t="s">
        <v>114</v>
      </c>
      <c r="D773" s="27">
        <v>45250</v>
      </c>
      <c r="E773" s="4" t="s">
        <v>20</v>
      </c>
      <c r="F773" s="4" t="s">
        <v>21</v>
      </c>
      <c r="G773" s="4" t="s">
        <v>1649</v>
      </c>
      <c r="H773" s="4" t="s">
        <v>23</v>
      </c>
      <c r="I773" s="4">
        <v>3</v>
      </c>
      <c r="J773" s="4" t="s">
        <v>46</v>
      </c>
      <c r="K773" s="4">
        <v>72</v>
      </c>
      <c r="L773" s="4">
        <v>4</v>
      </c>
      <c r="M773" s="4" t="s">
        <v>25</v>
      </c>
      <c r="N773" s="28">
        <f ca="1" t="shared" si="4"/>
        <v>0.799370847540014</v>
      </c>
      <c r="O773" s="4" t="s">
        <v>26</v>
      </c>
      <c r="P773" s="4">
        <v>288</v>
      </c>
      <c r="Q773" s="4">
        <v>215</v>
      </c>
      <c r="R773" s="4">
        <v>19</v>
      </c>
    </row>
    <row r="774" spans="1:18">
      <c r="A774" s="4" t="s">
        <v>1650</v>
      </c>
      <c r="B774" s="4" t="s">
        <v>1642</v>
      </c>
      <c r="C774" s="4" t="s">
        <v>118</v>
      </c>
      <c r="D774" s="27">
        <v>45258</v>
      </c>
      <c r="E774" s="4" t="s">
        <v>29</v>
      </c>
      <c r="F774" s="4" t="s">
        <v>21</v>
      </c>
      <c r="G774" s="4" t="s">
        <v>1651</v>
      </c>
      <c r="H774" s="4" t="s">
        <v>31</v>
      </c>
      <c r="I774" s="4">
        <v>3</v>
      </c>
      <c r="J774" s="4" t="s">
        <v>51</v>
      </c>
      <c r="K774" s="4">
        <v>65</v>
      </c>
      <c r="L774" s="4">
        <v>10</v>
      </c>
      <c r="M774" s="4" t="s">
        <v>33</v>
      </c>
      <c r="N774" s="28">
        <f ca="1" t="shared" si="4"/>
        <v>0.147355024296967</v>
      </c>
      <c r="O774" s="4" t="s">
        <v>34</v>
      </c>
      <c r="P774" s="4">
        <v>650</v>
      </c>
      <c r="Q774" s="4">
        <v>140</v>
      </c>
      <c r="R774" s="4">
        <v>32</v>
      </c>
    </row>
    <row r="775" spans="1:18">
      <c r="A775" s="4" t="s">
        <v>1652</v>
      </c>
      <c r="B775" s="4" t="s">
        <v>1644</v>
      </c>
      <c r="C775" s="4" t="s">
        <v>122</v>
      </c>
      <c r="D775" s="27">
        <v>45257</v>
      </c>
      <c r="E775" s="4" t="s">
        <v>37</v>
      </c>
      <c r="F775" s="4" t="s">
        <v>21</v>
      </c>
      <c r="G775" s="4" t="s">
        <v>1653</v>
      </c>
      <c r="H775" s="4" t="s">
        <v>40</v>
      </c>
      <c r="I775" s="4">
        <v>7</v>
      </c>
      <c r="J775" s="4" t="s">
        <v>55</v>
      </c>
      <c r="K775" s="4">
        <v>250</v>
      </c>
      <c r="L775" s="4">
        <v>1</v>
      </c>
      <c r="M775" s="4" t="s">
        <v>25</v>
      </c>
      <c r="N775" s="28">
        <f ca="1" t="shared" si="4"/>
        <v>0.143809754332767</v>
      </c>
      <c r="O775" s="4" t="s">
        <v>42</v>
      </c>
      <c r="P775" s="4">
        <v>250</v>
      </c>
      <c r="Q775" s="4">
        <v>60</v>
      </c>
      <c r="R775" s="4">
        <v>98</v>
      </c>
    </row>
    <row r="776" spans="1:18">
      <c r="A776" s="4" t="s">
        <v>1654</v>
      </c>
      <c r="B776" s="4" t="s">
        <v>1646</v>
      </c>
      <c r="C776" s="4" t="s">
        <v>126</v>
      </c>
      <c r="D776" s="27">
        <v>45239</v>
      </c>
      <c r="E776" s="4" t="s">
        <v>20</v>
      </c>
      <c r="F776" s="4" t="s">
        <v>21</v>
      </c>
      <c r="G776" s="4" t="s">
        <v>1655</v>
      </c>
      <c r="H776" s="4" t="s">
        <v>23</v>
      </c>
      <c r="I776" s="4">
        <v>4</v>
      </c>
      <c r="J776" s="4" t="s">
        <v>58</v>
      </c>
      <c r="K776" s="4">
        <v>72</v>
      </c>
      <c r="L776" s="4">
        <v>12</v>
      </c>
      <c r="M776" s="4" t="s">
        <v>33</v>
      </c>
      <c r="N776" s="28">
        <f ca="1" t="shared" si="4"/>
        <v>0.388780159600729</v>
      </c>
      <c r="O776" s="4" t="s">
        <v>26</v>
      </c>
      <c r="P776" s="4">
        <v>864</v>
      </c>
      <c r="Q776" s="4">
        <v>336</v>
      </c>
      <c r="R776" s="4">
        <v>37</v>
      </c>
    </row>
    <row r="777" spans="1:18">
      <c r="A777" s="4" t="s">
        <v>1656</v>
      </c>
      <c r="B777" s="4" t="s">
        <v>1648</v>
      </c>
      <c r="C777" s="4" t="s">
        <v>130</v>
      </c>
      <c r="D777" s="27">
        <v>45258</v>
      </c>
      <c r="E777" s="4" t="s">
        <v>29</v>
      </c>
      <c r="F777" s="4" t="s">
        <v>21</v>
      </c>
      <c r="G777" s="4" t="s">
        <v>1657</v>
      </c>
      <c r="H777" s="4" t="s">
        <v>31</v>
      </c>
      <c r="I777" s="4">
        <v>3</v>
      </c>
      <c r="J777" s="4" t="s">
        <v>63</v>
      </c>
      <c r="K777" s="4">
        <v>65</v>
      </c>
      <c r="L777" s="4">
        <v>11</v>
      </c>
      <c r="M777" s="4" t="s">
        <v>25</v>
      </c>
      <c r="N777" s="28">
        <f ca="1" t="shared" si="4"/>
        <v>0.830121481340464</v>
      </c>
      <c r="O777" s="4" t="s">
        <v>34</v>
      </c>
      <c r="P777" s="4">
        <v>715</v>
      </c>
      <c r="Q777" s="4">
        <v>562</v>
      </c>
      <c r="R777" s="4">
        <v>42</v>
      </c>
    </row>
    <row r="778" spans="1:18">
      <c r="A778" s="4" t="s">
        <v>1658</v>
      </c>
      <c r="B778" s="4" t="s">
        <v>1650</v>
      </c>
      <c r="C778" s="4" t="s">
        <v>134</v>
      </c>
      <c r="D778" s="27">
        <v>45260</v>
      </c>
      <c r="E778" s="4" t="s">
        <v>37</v>
      </c>
      <c r="F778" s="4" t="s">
        <v>38</v>
      </c>
      <c r="G778" s="4" t="s">
        <v>1659</v>
      </c>
      <c r="H778" s="4" t="s">
        <v>40</v>
      </c>
      <c r="I778" s="4">
        <v>8</v>
      </c>
      <c r="J778" s="4" t="s">
        <v>67</v>
      </c>
      <c r="K778" s="4">
        <v>250</v>
      </c>
      <c r="L778" s="4">
        <v>2</v>
      </c>
      <c r="M778" s="4" t="s">
        <v>33</v>
      </c>
      <c r="N778" s="28">
        <f ca="1" t="shared" si="4"/>
        <v>0.945739731637784</v>
      </c>
      <c r="O778" s="4" t="s">
        <v>42</v>
      </c>
      <c r="P778" s="4">
        <v>500</v>
      </c>
      <c r="Q778" s="4">
        <v>449</v>
      </c>
      <c r="R778" s="4">
        <v>88</v>
      </c>
    </row>
    <row r="779" spans="1:18">
      <c r="A779" s="4" t="s">
        <v>1660</v>
      </c>
      <c r="B779" s="4" t="s">
        <v>1652</v>
      </c>
      <c r="C779" s="4" t="s">
        <v>139</v>
      </c>
      <c r="D779" s="27">
        <v>45253</v>
      </c>
      <c r="E779" s="4" t="s">
        <v>20</v>
      </c>
      <c r="F779" s="4" t="s">
        <v>21</v>
      </c>
      <c r="G779" s="4" t="s">
        <v>1661</v>
      </c>
      <c r="H779" s="4" t="s">
        <v>23</v>
      </c>
      <c r="I779" s="4">
        <v>2</v>
      </c>
      <c r="J779" s="4" t="s">
        <v>71</v>
      </c>
      <c r="K779" s="4">
        <v>130</v>
      </c>
      <c r="L779" s="4">
        <v>7</v>
      </c>
      <c r="M779" s="4" t="s">
        <v>33</v>
      </c>
      <c r="N779" s="28">
        <f ca="1" t="shared" si="4"/>
        <v>0.185655750318948</v>
      </c>
      <c r="O779" s="4" t="s">
        <v>47</v>
      </c>
      <c r="P779" s="4">
        <v>910</v>
      </c>
      <c r="Q779" s="4">
        <v>182</v>
      </c>
      <c r="R779" s="4">
        <v>60</v>
      </c>
    </row>
    <row r="780" spans="1:18">
      <c r="A780" s="4" t="s">
        <v>1662</v>
      </c>
      <c r="B780" s="4" t="s">
        <v>1654</v>
      </c>
      <c r="C780" s="4" t="s">
        <v>143</v>
      </c>
      <c r="D780" s="27">
        <v>45238</v>
      </c>
      <c r="E780" s="4" t="s">
        <v>29</v>
      </c>
      <c r="F780" s="4" t="s">
        <v>21</v>
      </c>
      <c r="G780" s="4" t="s">
        <v>1663</v>
      </c>
      <c r="H780" s="4" t="s">
        <v>31</v>
      </c>
      <c r="I780" s="4">
        <v>9</v>
      </c>
      <c r="J780" s="4" t="s">
        <v>75</v>
      </c>
      <c r="K780" s="4">
        <v>72</v>
      </c>
      <c r="L780" s="4">
        <v>6</v>
      </c>
      <c r="M780" s="4" t="s">
        <v>33</v>
      </c>
      <c r="N780" s="28">
        <f ca="1" t="shared" si="4"/>
        <v>0.392530629199827</v>
      </c>
      <c r="O780" s="4" t="s">
        <v>26</v>
      </c>
      <c r="P780" s="4">
        <v>432</v>
      </c>
      <c r="Q780" s="4">
        <v>121</v>
      </c>
      <c r="R780" s="4">
        <v>42</v>
      </c>
    </row>
    <row r="781" spans="1:18">
      <c r="A781" s="4" t="s">
        <v>1664</v>
      </c>
      <c r="B781" s="4" t="s">
        <v>1656</v>
      </c>
      <c r="C781" s="4" t="s">
        <v>146</v>
      </c>
      <c r="D781" s="27">
        <v>45235</v>
      </c>
      <c r="E781" s="4" t="s">
        <v>37</v>
      </c>
      <c r="F781" s="4" t="s">
        <v>21</v>
      </c>
      <c r="G781" s="4" t="s">
        <v>1665</v>
      </c>
      <c r="H781" s="4" t="s">
        <v>40</v>
      </c>
      <c r="I781" s="4">
        <v>6</v>
      </c>
      <c r="J781" s="4" t="s">
        <v>79</v>
      </c>
      <c r="K781" s="4">
        <v>65</v>
      </c>
      <c r="L781" s="4">
        <v>4</v>
      </c>
      <c r="M781" s="4" t="s">
        <v>33</v>
      </c>
      <c r="N781" s="28">
        <f ca="1" t="shared" si="4"/>
        <v>0.825083011977336</v>
      </c>
      <c r="O781" s="4" t="s">
        <v>34</v>
      </c>
      <c r="P781" s="4">
        <v>260</v>
      </c>
      <c r="Q781" s="4">
        <v>13</v>
      </c>
      <c r="R781" s="4">
        <v>20</v>
      </c>
    </row>
    <row r="782" spans="1:18">
      <c r="A782" s="4" t="s">
        <v>1666</v>
      </c>
      <c r="B782" s="4" t="s">
        <v>1658</v>
      </c>
      <c r="C782" s="4" t="s">
        <v>149</v>
      </c>
      <c r="D782" s="27">
        <v>45237</v>
      </c>
      <c r="E782" s="4" t="s">
        <v>20</v>
      </c>
      <c r="F782" s="4" t="s">
        <v>21</v>
      </c>
      <c r="G782" s="4" t="s">
        <v>1667</v>
      </c>
      <c r="H782" s="4" t="s">
        <v>23</v>
      </c>
      <c r="I782" s="4">
        <v>7</v>
      </c>
      <c r="J782" s="4" t="s">
        <v>82</v>
      </c>
      <c r="K782" s="4">
        <v>250</v>
      </c>
      <c r="L782" s="4">
        <v>2</v>
      </c>
      <c r="M782" s="4" t="s">
        <v>33</v>
      </c>
      <c r="N782" s="28">
        <f ca="1" t="shared" si="4"/>
        <v>0.52357421546091</v>
      </c>
      <c r="O782" s="4" t="s">
        <v>42</v>
      </c>
      <c r="P782" s="4">
        <v>500</v>
      </c>
      <c r="Q782" s="4">
        <v>224</v>
      </c>
      <c r="R782" s="4">
        <v>150</v>
      </c>
    </row>
    <row r="783" spans="1:18">
      <c r="A783" s="4" t="s">
        <v>1668</v>
      </c>
      <c r="B783" s="4" t="s">
        <v>1660</v>
      </c>
      <c r="C783" s="4" t="s">
        <v>152</v>
      </c>
      <c r="D783" s="27">
        <v>45256</v>
      </c>
      <c r="E783" s="4" t="s">
        <v>29</v>
      </c>
      <c r="F783" s="4" t="s">
        <v>21</v>
      </c>
      <c r="G783" s="4" t="s">
        <v>1669</v>
      </c>
      <c r="H783" s="4" t="s">
        <v>31</v>
      </c>
      <c r="I783" s="4">
        <v>9</v>
      </c>
      <c r="J783" s="4" t="s">
        <v>24</v>
      </c>
      <c r="K783" s="4">
        <v>130</v>
      </c>
      <c r="L783" s="4">
        <v>4</v>
      </c>
      <c r="M783" s="4" t="s">
        <v>25</v>
      </c>
      <c r="N783" s="28">
        <f ca="1" t="shared" si="4"/>
        <v>0.513315445646785</v>
      </c>
      <c r="O783" s="4" t="s">
        <v>47</v>
      </c>
      <c r="P783" s="4">
        <v>520</v>
      </c>
      <c r="Q783" s="4">
        <v>339</v>
      </c>
      <c r="R783" s="4">
        <v>74</v>
      </c>
    </row>
    <row r="784" spans="1:18">
      <c r="A784" s="4" t="s">
        <v>1670</v>
      </c>
      <c r="B784" s="4" t="s">
        <v>1662</v>
      </c>
      <c r="C784" s="4" t="s">
        <v>84</v>
      </c>
      <c r="D784" s="27">
        <v>45249</v>
      </c>
      <c r="E784" s="4" t="s">
        <v>29</v>
      </c>
      <c r="F784" s="4" t="s">
        <v>38</v>
      </c>
      <c r="G784" s="4" t="s">
        <v>1671</v>
      </c>
      <c r="H784" s="4" t="s">
        <v>40</v>
      </c>
      <c r="I784" s="4">
        <v>2</v>
      </c>
      <c r="J784" s="4" t="s">
        <v>32</v>
      </c>
      <c r="K784" s="4">
        <v>60</v>
      </c>
      <c r="L784" s="4">
        <v>8</v>
      </c>
      <c r="M784" s="4" t="s">
        <v>33</v>
      </c>
      <c r="N784" s="28">
        <f ca="1" t="shared" si="4"/>
        <v>0.856009769515979</v>
      </c>
      <c r="O784" s="4" t="s">
        <v>68</v>
      </c>
      <c r="P784" s="4">
        <v>480</v>
      </c>
      <c r="Q784" s="4">
        <v>163</v>
      </c>
      <c r="R784" s="4">
        <v>32</v>
      </c>
    </row>
    <row r="785" spans="1:18">
      <c r="A785" s="4" t="s">
        <v>1672</v>
      </c>
      <c r="B785" s="4" t="s">
        <v>1664</v>
      </c>
      <c r="C785" s="4" t="s">
        <v>118</v>
      </c>
      <c r="D785" s="27">
        <v>45240</v>
      </c>
      <c r="E785" s="4" t="s">
        <v>20</v>
      </c>
      <c r="F785" s="4" t="s">
        <v>21</v>
      </c>
      <c r="G785" s="4" t="s">
        <v>1673</v>
      </c>
      <c r="H785" s="4" t="s">
        <v>23</v>
      </c>
      <c r="I785" s="4">
        <v>9</v>
      </c>
      <c r="J785" s="4" t="s">
        <v>41</v>
      </c>
      <c r="K785" s="4">
        <v>72</v>
      </c>
      <c r="L785" s="4">
        <v>4</v>
      </c>
      <c r="M785" s="4" t="s">
        <v>25</v>
      </c>
      <c r="N785" s="28">
        <f ca="1" t="shared" si="4"/>
        <v>0.168767999925331</v>
      </c>
      <c r="O785" s="4" t="s">
        <v>26</v>
      </c>
      <c r="P785" s="4">
        <v>288</v>
      </c>
      <c r="Q785" s="4">
        <v>10</v>
      </c>
      <c r="R785" s="4">
        <v>23</v>
      </c>
    </row>
    <row r="786" spans="1:18">
      <c r="A786" s="4" t="s">
        <v>1674</v>
      </c>
      <c r="B786" s="4" t="s">
        <v>1666</v>
      </c>
      <c r="C786" s="4" t="s">
        <v>139</v>
      </c>
      <c r="D786" s="27">
        <v>45238</v>
      </c>
      <c r="E786" s="4" t="s">
        <v>29</v>
      </c>
      <c r="F786" s="4" t="s">
        <v>21</v>
      </c>
      <c r="G786" s="4" t="s">
        <v>1675</v>
      </c>
      <c r="H786" s="4" t="s">
        <v>31</v>
      </c>
      <c r="I786" s="4">
        <v>10</v>
      </c>
      <c r="J786" s="4" t="s">
        <v>46</v>
      </c>
      <c r="K786" s="4">
        <v>65</v>
      </c>
      <c r="L786" s="4">
        <v>5</v>
      </c>
      <c r="M786" s="4" t="s">
        <v>33</v>
      </c>
      <c r="N786" s="28">
        <f ca="1" t="shared" si="4"/>
        <v>0.171003979074401</v>
      </c>
      <c r="O786" s="4" t="s">
        <v>34</v>
      </c>
      <c r="P786" s="4">
        <v>325</v>
      </c>
      <c r="Q786" s="4">
        <v>311</v>
      </c>
      <c r="R786" s="4">
        <v>34</v>
      </c>
    </row>
    <row r="787" spans="1:18">
      <c r="A787" s="4" t="s">
        <v>1676</v>
      </c>
      <c r="B787" s="4" t="s">
        <v>1668</v>
      </c>
      <c r="C787" s="4" t="s">
        <v>49</v>
      </c>
      <c r="D787" s="27">
        <v>45242</v>
      </c>
      <c r="E787" s="4" t="s">
        <v>37</v>
      </c>
      <c r="F787" s="4" t="s">
        <v>21</v>
      </c>
      <c r="G787" s="4" t="s">
        <v>1677</v>
      </c>
      <c r="H787" s="4" t="s">
        <v>40</v>
      </c>
      <c r="I787" s="4">
        <v>1</v>
      </c>
      <c r="J787" s="4" t="s">
        <v>51</v>
      </c>
      <c r="K787" s="4">
        <v>250</v>
      </c>
      <c r="L787" s="4">
        <v>3</v>
      </c>
      <c r="M787" s="4" t="s">
        <v>25</v>
      </c>
      <c r="N787" s="28">
        <f ca="1" t="shared" si="4"/>
        <v>0.259216146859194</v>
      </c>
      <c r="O787" s="4" t="s">
        <v>42</v>
      </c>
      <c r="P787" s="4">
        <v>750</v>
      </c>
      <c r="Q787" s="4">
        <v>59</v>
      </c>
      <c r="R787" s="4">
        <v>118</v>
      </c>
    </row>
    <row r="788" spans="1:18">
      <c r="A788" s="4" t="s">
        <v>1678</v>
      </c>
      <c r="B788" s="4" t="s">
        <v>1670</v>
      </c>
      <c r="C788" s="4" t="s">
        <v>91</v>
      </c>
      <c r="D788" s="27">
        <v>45254</v>
      </c>
      <c r="E788" s="4" t="s">
        <v>20</v>
      </c>
      <c r="F788" s="4" t="s">
        <v>21</v>
      </c>
      <c r="G788" s="4" t="s">
        <v>1679</v>
      </c>
      <c r="H788" s="4" t="s">
        <v>23</v>
      </c>
      <c r="I788" s="4">
        <v>1</v>
      </c>
      <c r="J788" s="4" t="s">
        <v>55</v>
      </c>
      <c r="K788" s="4">
        <v>130</v>
      </c>
      <c r="L788" s="4">
        <v>4</v>
      </c>
      <c r="M788" s="4" t="s">
        <v>33</v>
      </c>
      <c r="N788" s="28">
        <f ca="1" t="shared" si="4"/>
        <v>0.22288055667166</v>
      </c>
      <c r="O788" s="4" t="s">
        <v>47</v>
      </c>
      <c r="P788" s="4">
        <v>520</v>
      </c>
      <c r="Q788" s="4">
        <v>379</v>
      </c>
      <c r="R788" s="4">
        <v>74</v>
      </c>
    </row>
    <row r="789" spans="1:18">
      <c r="A789" s="4" t="s">
        <v>1680</v>
      </c>
      <c r="B789" s="4" t="s">
        <v>1672</v>
      </c>
      <c r="C789" s="4" t="s">
        <v>146</v>
      </c>
      <c r="D789" s="27">
        <v>45253</v>
      </c>
      <c r="E789" s="4" t="s">
        <v>29</v>
      </c>
      <c r="F789" s="4" t="s">
        <v>21</v>
      </c>
      <c r="G789" s="4" t="s">
        <v>1681</v>
      </c>
      <c r="H789" s="4" t="s">
        <v>31</v>
      </c>
      <c r="I789" s="4">
        <v>10</v>
      </c>
      <c r="J789" s="4" t="s">
        <v>58</v>
      </c>
      <c r="K789" s="4">
        <v>72</v>
      </c>
      <c r="L789" s="4">
        <v>5</v>
      </c>
      <c r="M789" s="4" t="s">
        <v>25</v>
      </c>
      <c r="N789" s="28">
        <f ca="1" t="shared" si="4"/>
        <v>0.0575051386666505</v>
      </c>
      <c r="O789" s="4" t="s">
        <v>26</v>
      </c>
      <c r="P789" s="4">
        <v>360</v>
      </c>
      <c r="Q789" s="4">
        <v>232</v>
      </c>
      <c r="R789" s="4">
        <v>27</v>
      </c>
    </row>
    <row r="790" spans="1:18">
      <c r="A790" s="4" t="s">
        <v>1682</v>
      </c>
      <c r="B790" s="4" t="s">
        <v>1674</v>
      </c>
      <c r="C790" s="4" t="s">
        <v>149</v>
      </c>
      <c r="D790" s="27">
        <v>45238</v>
      </c>
      <c r="E790" s="4" t="s">
        <v>29</v>
      </c>
      <c r="F790" s="4" t="s">
        <v>38</v>
      </c>
      <c r="G790" s="4" t="s">
        <v>1683</v>
      </c>
      <c r="H790" s="4" t="s">
        <v>40</v>
      </c>
      <c r="I790" s="4">
        <v>4</v>
      </c>
      <c r="J790" s="4" t="s">
        <v>63</v>
      </c>
      <c r="K790" s="4">
        <v>65</v>
      </c>
      <c r="L790" s="4">
        <v>7</v>
      </c>
      <c r="M790" s="4" t="s">
        <v>33</v>
      </c>
      <c r="N790" s="28">
        <f ca="1" t="shared" si="4"/>
        <v>0.219439317541493</v>
      </c>
      <c r="O790" s="4" t="s">
        <v>34</v>
      </c>
      <c r="P790" s="4">
        <v>455</v>
      </c>
      <c r="Q790" s="4">
        <v>367</v>
      </c>
      <c r="R790" s="4">
        <v>25</v>
      </c>
    </row>
    <row r="791" spans="1:18">
      <c r="A791" s="4" t="s">
        <v>1684</v>
      </c>
      <c r="B791" s="4" t="s">
        <v>1676</v>
      </c>
      <c r="C791" s="4" t="s">
        <v>171</v>
      </c>
      <c r="D791" s="27">
        <v>45233</v>
      </c>
      <c r="E791" s="4" t="s">
        <v>20</v>
      </c>
      <c r="F791" s="4" t="s">
        <v>21</v>
      </c>
      <c r="G791" s="4" t="s">
        <v>1685</v>
      </c>
      <c r="H791" s="4" t="s">
        <v>23</v>
      </c>
      <c r="I791" s="4">
        <v>7</v>
      </c>
      <c r="J791" s="4" t="s">
        <v>67</v>
      </c>
      <c r="K791" s="4">
        <v>250</v>
      </c>
      <c r="L791" s="4">
        <v>1</v>
      </c>
      <c r="M791" s="4" t="s">
        <v>25</v>
      </c>
      <c r="N791" s="28">
        <f ca="1" t="shared" si="4"/>
        <v>0.210673442704406</v>
      </c>
      <c r="O791" s="4" t="s">
        <v>42</v>
      </c>
      <c r="P791" s="4">
        <v>250</v>
      </c>
      <c r="Q791" s="4">
        <v>172</v>
      </c>
      <c r="R791" s="4">
        <v>83</v>
      </c>
    </row>
    <row r="792" spans="1:18">
      <c r="A792" s="4" t="s">
        <v>1686</v>
      </c>
      <c r="B792" s="4" t="s">
        <v>1678</v>
      </c>
      <c r="C792" s="4" t="s">
        <v>73</v>
      </c>
      <c r="D792" s="27">
        <v>45254</v>
      </c>
      <c r="E792" s="4" t="s">
        <v>29</v>
      </c>
      <c r="F792" s="4" t="s">
        <v>21</v>
      </c>
      <c r="G792" s="4" t="s">
        <v>1687</v>
      </c>
      <c r="H792" s="4" t="s">
        <v>31</v>
      </c>
      <c r="I792" s="4">
        <v>3</v>
      </c>
      <c r="J792" s="4" t="s">
        <v>71</v>
      </c>
      <c r="K792" s="4">
        <v>130</v>
      </c>
      <c r="L792" s="4">
        <v>6</v>
      </c>
      <c r="M792" s="4" t="s">
        <v>33</v>
      </c>
      <c r="N792" s="28">
        <f ca="1" t="shared" si="4"/>
        <v>0.973439307271305</v>
      </c>
      <c r="O792" s="4" t="s">
        <v>47</v>
      </c>
      <c r="P792" s="4">
        <v>780</v>
      </c>
      <c r="Q792" s="4">
        <v>359</v>
      </c>
      <c r="R792" s="4">
        <v>60</v>
      </c>
    </row>
    <row r="793" spans="1:18">
      <c r="A793" s="4" t="s">
        <v>1688</v>
      </c>
      <c r="B793" s="4" t="s">
        <v>1680</v>
      </c>
      <c r="C793" s="4" t="s">
        <v>176</v>
      </c>
      <c r="D793" s="27">
        <v>45258</v>
      </c>
      <c r="E793" s="4" t="s">
        <v>37</v>
      </c>
      <c r="F793" s="4" t="s">
        <v>21</v>
      </c>
      <c r="G793" s="4" t="s">
        <v>1689</v>
      </c>
      <c r="H793" s="4" t="s">
        <v>40</v>
      </c>
      <c r="I793" s="4">
        <v>6</v>
      </c>
      <c r="J793" s="4" t="s">
        <v>75</v>
      </c>
      <c r="K793" s="4">
        <v>60</v>
      </c>
      <c r="L793" s="4">
        <v>13</v>
      </c>
      <c r="M793" s="4" t="s">
        <v>25</v>
      </c>
      <c r="N793" s="28">
        <f ca="1" t="shared" si="4"/>
        <v>0.944771823742981</v>
      </c>
      <c r="O793" s="4" t="s">
        <v>68</v>
      </c>
      <c r="P793" s="4">
        <v>780</v>
      </c>
      <c r="Q793" s="4">
        <v>122</v>
      </c>
      <c r="R793" s="4">
        <v>39</v>
      </c>
    </row>
    <row r="794" spans="1:18">
      <c r="A794" s="4" t="s">
        <v>1690</v>
      </c>
      <c r="B794" s="4" t="s">
        <v>1682</v>
      </c>
      <c r="C794" s="4" t="s">
        <v>179</v>
      </c>
      <c r="D794" s="27">
        <v>45241</v>
      </c>
      <c r="E794" s="4" t="s">
        <v>20</v>
      </c>
      <c r="F794" s="4" t="s">
        <v>21</v>
      </c>
      <c r="G794" s="4" t="s">
        <v>1691</v>
      </c>
      <c r="H794" s="4" t="s">
        <v>23</v>
      </c>
      <c r="I794" s="4">
        <v>6</v>
      </c>
      <c r="J794" s="4" t="s">
        <v>79</v>
      </c>
      <c r="K794" s="4">
        <v>95</v>
      </c>
      <c r="L794" s="4">
        <v>6</v>
      </c>
      <c r="M794" s="4" t="s">
        <v>33</v>
      </c>
      <c r="N794" s="28">
        <f ca="1" t="shared" si="4"/>
        <v>0.0921096698332549</v>
      </c>
      <c r="O794" s="4" t="s">
        <v>104</v>
      </c>
      <c r="P794" s="4">
        <v>570</v>
      </c>
      <c r="Q794" s="4">
        <v>251</v>
      </c>
      <c r="R794" s="4">
        <v>46</v>
      </c>
    </row>
    <row r="795" spans="1:18">
      <c r="A795" s="4" t="s">
        <v>1692</v>
      </c>
      <c r="B795" s="4" t="s">
        <v>1684</v>
      </c>
      <c r="C795" s="4" t="s">
        <v>182</v>
      </c>
      <c r="D795" s="27">
        <v>45245</v>
      </c>
      <c r="E795" s="4" t="s">
        <v>29</v>
      </c>
      <c r="F795" s="4" t="s">
        <v>21</v>
      </c>
      <c r="G795" s="4" t="s">
        <v>1693</v>
      </c>
      <c r="H795" s="4" t="s">
        <v>31</v>
      </c>
      <c r="I795" s="4">
        <v>5</v>
      </c>
      <c r="J795" s="4" t="s">
        <v>82</v>
      </c>
      <c r="K795" s="4">
        <v>72</v>
      </c>
      <c r="L795" s="4">
        <v>12</v>
      </c>
      <c r="M795" s="4" t="s">
        <v>25</v>
      </c>
      <c r="N795" s="28">
        <f ca="1" t="shared" si="4"/>
        <v>0.499367004339497</v>
      </c>
      <c r="O795" s="4" t="s">
        <v>26</v>
      </c>
      <c r="P795" s="4">
        <v>864</v>
      </c>
      <c r="Q795" s="4">
        <v>56</v>
      </c>
      <c r="R795" s="4">
        <v>30</v>
      </c>
    </row>
  </sheetData>
  <autoFilter xmlns:etc="http://www.wps.cn/officeDocument/2017/etCustomData" ref="A1:R795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showGridLines="0" workbookViewId="0">
      <selection activeCell="B3" sqref="B3"/>
    </sheetView>
  </sheetViews>
  <sheetFormatPr defaultColWidth="9" defaultRowHeight="14.5"/>
  <cols>
    <col min="2" max="2" width="21.2727272727273"/>
    <col min="3" max="3" width="17.0909090909091"/>
  </cols>
  <sheetData>
    <row r="1" ht="26" spans="1:21">
      <c r="A1" s="21" t="s">
        <v>1694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5"/>
      <c r="Q1" s="25"/>
      <c r="R1" s="25"/>
      <c r="S1" s="25"/>
      <c r="T1" s="25"/>
      <c r="U1" s="25"/>
    </row>
    <row r="3" spans="1:21">
      <c r="B3" t="s">
        <v>2</v>
      </c>
      <c r="C3" t="s">
        <v>1695</v>
      </c>
    </row>
    <row r="4" spans="1:21">
      <c r="B4" t="s">
        <v>229</v>
      </c>
      <c r="C4">
        <v>6944</v>
      </c>
    </row>
    <row r="5" spans="1:21">
      <c r="B5" t="s">
        <v>118</v>
      </c>
      <c r="C5">
        <v>8974</v>
      </c>
    </row>
    <row r="6" spans="1:21">
      <c r="B6" t="s">
        <v>61</v>
      </c>
      <c r="C6">
        <v>11762</v>
      </c>
    </row>
    <row r="7" spans="1:21">
      <c r="B7" t="s">
        <v>152</v>
      </c>
      <c r="C7">
        <v>3422</v>
      </c>
    </row>
    <row r="8" spans="1:21">
      <c r="B8" t="s">
        <v>36</v>
      </c>
      <c r="C8">
        <v>6169</v>
      </c>
    </row>
    <row r="9" spans="1:21">
      <c r="B9" t="s">
        <v>188</v>
      </c>
      <c r="C9">
        <v>3697</v>
      </c>
    </row>
    <row r="10" spans="1:21">
      <c r="B10" t="s">
        <v>182</v>
      </c>
      <c r="C10">
        <v>3382</v>
      </c>
    </row>
    <row r="11" spans="1:21">
      <c r="B11" t="s">
        <v>146</v>
      </c>
      <c r="C11">
        <v>9436</v>
      </c>
    </row>
    <row r="12" spans="1:21">
      <c r="B12" t="s">
        <v>200</v>
      </c>
      <c r="C12">
        <v>2712</v>
      </c>
    </row>
    <row r="13" spans="1:21">
      <c r="B13" t="s">
        <v>73</v>
      </c>
      <c r="C13">
        <v>12409</v>
      </c>
    </row>
    <row r="14" spans="1:21">
      <c r="B14" t="s">
        <v>194</v>
      </c>
      <c r="C14">
        <v>1709</v>
      </c>
    </row>
    <row r="15" spans="1:21">
      <c r="B15" t="s">
        <v>179</v>
      </c>
      <c r="C15">
        <v>3881</v>
      </c>
    </row>
    <row r="16" spans="1:21">
      <c r="B16" t="s">
        <v>91</v>
      </c>
      <c r="C16">
        <v>5965</v>
      </c>
    </row>
    <row r="17" spans="2:3">
      <c r="B17" t="s">
        <v>114</v>
      </c>
      <c r="C17">
        <v>6169</v>
      </c>
    </row>
    <row r="18" spans="2:3">
      <c r="B18" t="s">
        <v>143</v>
      </c>
      <c r="C18">
        <v>6251</v>
      </c>
    </row>
    <row r="19" spans="2:3">
      <c r="B19" t="s">
        <v>44</v>
      </c>
      <c r="C19">
        <v>7380</v>
      </c>
    </row>
    <row r="20" spans="2:3">
      <c r="B20" t="s">
        <v>222</v>
      </c>
      <c r="C20">
        <v>1648</v>
      </c>
    </row>
    <row r="21" spans="2:3">
      <c r="B21" t="s">
        <v>191</v>
      </c>
      <c r="C21">
        <v>3044</v>
      </c>
    </row>
    <row r="22" spans="2:3">
      <c r="B22" t="s">
        <v>316</v>
      </c>
      <c r="C22">
        <v>1992</v>
      </c>
    </row>
    <row r="23" spans="2:3">
      <c r="B23" t="s">
        <v>139</v>
      </c>
      <c r="C23">
        <v>7802</v>
      </c>
    </row>
    <row r="24" spans="2:3">
      <c r="B24" t="s">
        <v>77</v>
      </c>
      <c r="C24">
        <v>9665</v>
      </c>
    </row>
    <row r="25" spans="2:3">
      <c r="B25" t="s">
        <v>176</v>
      </c>
      <c r="C25">
        <v>3191</v>
      </c>
    </row>
    <row r="26" spans="2:3">
      <c r="B26" t="s">
        <v>185</v>
      </c>
      <c r="C26">
        <v>1893</v>
      </c>
    </row>
    <row r="27" spans="2:3">
      <c r="B27" t="s">
        <v>122</v>
      </c>
      <c r="C27">
        <v>4932</v>
      </c>
    </row>
    <row r="28" spans="2:3">
      <c r="B28" t="s">
        <v>101</v>
      </c>
      <c r="C28">
        <v>2127</v>
      </c>
    </row>
    <row r="29" spans="2:3">
      <c r="B29" t="s">
        <v>65</v>
      </c>
      <c r="C29">
        <v>5374</v>
      </c>
    </row>
    <row r="30" spans="2:3">
      <c r="B30" t="s">
        <v>53</v>
      </c>
      <c r="C30">
        <v>12008</v>
      </c>
    </row>
    <row r="31" spans="2:3">
      <c r="B31" t="s">
        <v>130</v>
      </c>
      <c r="C31">
        <v>5293</v>
      </c>
    </row>
    <row r="32" spans="2:3">
      <c r="B32" t="s">
        <v>171</v>
      </c>
      <c r="C32">
        <v>3949</v>
      </c>
    </row>
    <row r="33" spans="2:3">
      <c r="B33" t="s">
        <v>149</v>
      </c>
      <c r="C33">
        <v>5946</v>
      </c>
    </row>
    <row r="34" spans="2:3">
      <c r="B34" t="s">
        <v>84</v>
      </c>
      <c r="C34">
        <v>11704</v>
      </c>
    </row>
    <row r="35" spans="2:3">
      <c r="B35" t="s">
        <v>203</v>
      </c>
      <c r="C35">
        <v>7187</v>
      </c>
    </row>
    <row r="36" spans="2:3">
      <c r="B36" t="s">
        <v>19</v>
      </c>
      <c r="C36">
        <v>568</v>
      </c>
    </row>
    <row r="37" spans="2:3">
      <c r="B37" t="s">
        <v>126</v>
      </c>
      <c r="C37">
        <v>4844</v>
      </c>
    </row>
    <row r="38" spans="2:3">
      <c r="B38" t="s">
        <v>49</v>
      </c>
      <c r="C38">
        <v>14663</v>
      </c>
    </row>
    <row r="39" spans="2:3">
      <c r="B39" t="s">
        <v>106</v>
      </c>
      <c r="C39">
        <v>3622</v>
      </c>
    </row>
    <row r="40" spans="2:3">
      <c r="B40" t="s">
        <v>134</v>
      </c>
      <c r="C40">
        <v>4660</v>
      </c>
    </row>
    <row r="41" spans="2:3">
      <c r="B41" t="s">
        <v>28</v>
      </c>
      <c r="C41">
        <v>7691</v>
      </c>
    </row>
    <row r="42" spans="2:3">
      <c r="B42" t="s">
        <v>197</v>
      </c>
      <c r="C42">
        <v>1059</v>
      </c>
    </row>
    <row r="43" spans="2:3">
      <c r="B43" t="s">
        <v>110</v>
      </c>
      <c r="C43">
        <v>3360</v>
      </c>
    </row>
    <row r="44" spans="2:3">
      <c r="B44" t="s">
        <v>1696</v>
      </c>
      <c r="C44">
        <v>4962</v>
      </c>
    </row>
    <row r="45" spans="2:3">
      <c r="B45" t="s">
        <v>1697</v>
      </c>
      <c r="C45">
        <v>233446</v>
      </c>
    </row>
  </sheetData>
  <mergeCells count="1">
    <mergeCell ref="A1:O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showGridLines="0" workbookViewId="0">
      <selection activeCell="C5" sqref="C5"/>
    </sheetView>
  </sheetViews>
  <sheetFormatPr defaultColWidth="9" defaultRowHeight="14.5" outlineLevelRow="4"/>
  <cols>
    <col min="2" max="4" width="13.1818181818182"/>
  </cols>
  <sheetData>
    <row r="1" ht="23.5" spans="1:21">
      <c r="A1" s="21" t="s">
        <v>1698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4" spans="1:21">
      <c r="B4" t="s">
        <v>1699</v>
      </c>
      <c r="C4" t="s">
        <v>1700</v>
      </c>
      <c r="D4" t="s">
        <v>1701</v>
      </c>
    </row>
    <row r="5" spans="1:21">
      <c r="B5">
        <v>294.012594458438</v>
      </c>
      <c r="C5">
        <v>981</v>
      </c>
      <c r="D5">
        <v>1</v>
      </c>
    </row>
  </sheetData>
  <mergeCells count="1">
    <mergeCell ref="A1:U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showGridLines="0" workbookViewId="0">
      <selection activeCell="A11" sqref="A11"/>
    </sheetView>
  </sheetViews>
  <sheetFormatPr defaultColWidth="9" defaultRowHeight="14.5"/>
  <cols>
    <col min="2" max="2" width="15.0909090909091"/>
    <col min="3" max="3" width="18.4545454545455"/>
    <col min="4" max="4" width="10.8181818181818"/>
    <col min="5" max="5" width="12.3636363636364"/>
    <col min="6" max="7" width="13.2727272727273"/>
    <col min="8" max="8" width="15.4545454545455"/>
    <col min="9" max="9" width="12.3636363636364"/>
    <col min="10" max="10" width="13.2727272727273"/>
    <col min="11" max="11" width="17.2272727272727"/>
    <col min="12" max="12" width="12.3636363636364"/>
    <col min="13" max="13" width="13.2727272727273"/>
    <col min="14" max="14" width="12.6363636363636"/>
    <col min="15" max="15" width="12.3636363636364"/>
    <col min="16" max="16" width="13.2727272727273"/>
    <col min="17" max="17" width="26.1818181818182"/>
    <col min="18" max="18" width="27.7272727272727"/>
    <col min="19" max="19" width="28.6363636363636"/>
    <col min="20" max="20" width="17.3181818181818"/>
    <col min="21" max="21" width="12.3636363636364"/>
    <col min="22" max="22" width="13.2727272727273"/>
    <col min="23" max="23" width="12.6363636363636"/>
    <col min="24" max="24" width="12.3636363636364"/>
    <col min="25" max="25" width="13.2727272727273"/>
    <col min="26" max="26" width="26.2727272727273"/>
    <col min="27" max="27" width="27.8181818181818"/>
    <col min="28" max="28" width="28.7272727272727"/>
  </cols>
  <sheetData>
    <row r="1" ht="23.5" spans="1:21">
      <c r="A1" s="23" t="s">
        <v>1702</v>
      </c>
      <c r="B1" s="23"/>
      <c r="C1" s="23"/>
      <c r="D1" s="23"/>
      <c r="E1" s="23"/>
      <c r="F1" s="23"/>
      <c r="G1" s="23"/>
      <c r="H1" s="23"/>
      <c r="I1" s="23"/>
      <c r="J1" s="23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4" spans="1:21">
      <c r="B4" s="4" t="s">
        <v>12</v>
      </c>
      <c r="C4" s="4" t="s">
        <v>7</v>
      </c>
      <c r="D4" s="4" t="s">
        <v>1703</v>
      </c>
      <c r="E4" s="4" t="s">
        <v>1704</v>
      </c>
      <c r="F4" s="4" t="s">
        <v>1705</v>
      </c>
    </row>
    <row r="5" spans="1:21">
      <c r="B5" s="4" t="s">
        <v>25</v>
      </c>
      <c r="C5" s="4"/>
      <c r="D5" s="4">
        <v>403</v>
      </c>
      <c r="E5" s="4">
        <v>118314</v>
      </c>
      <c r="F5" s="22">
        <v>293.583126550869</v>
      </c>
    </row>
    <row r="6" spans="1:21">
      <c r="B6" s="4"/>
      <c r="C6" s="4" t="s">
        <v>31</v>
      </c>
      <c r="D6" s="4">
        <v>130</v>
      </c>
      <c r="E6" s="4">
        <v>41401</v>
      </c>
      <c r="F6" s="22">
        <v>318.469230769231</v>
      </c>
    </row>
    <row r="7" spans="1:21">
      <c r="B7" s="4"/>
      <c r="C7" s="4" t="s">
        <v>40</v>
      </c>
      <c r="D7" s="4">
        <v>129</v>
      </c>
      <c r="E7" s="4">
        <v>35335</v>
      </c>
      <c r="F7" s="22">
        <v>273.914728682171</v>
      </c>
    </row>
    <row r="8" spans="1:21">
      <c r="B8" s="4"/>
      <c r="C8" s="4" t="s">
        <v>23</v>
      </c>
      <c r="D8" s="4">
        <v>144</v>
      </c>
      <c r="E8" s="4">
        <v>41578</v>
      </c>
      <c r="F8" s="22">
        <v>288.736111111111</v>
      </c>
    </row>
    <row r="9" spans="1:21">
      <c r="B9" s="4"/>
      <c r="C9" s="4"/>
      <c r="D9" s="4"/>
      <c r="E9" s="4"/>
      <c r="F9" s="22"/>
    </row>
    <row r="10" spans="1:21">
      <c r="B10" s="4" t="s">
        <v>33</v>
      </c>
      <c r="C10" s="4"/>
      <c r="D10" s="4">
        <v>391</v>
      </c>
      <c r="E10" s="4">
        <v>115132</v>
      </c>
      <c r="F10" s="22">
        <v>294.455242966752</v>
      </c>
    </row>
    <row r="11" spans="1:21">
      <c r="B11" s="4"/>
      <c r="C11" s="4" t="s">
        <v>31</v>
      </c>
      <c r="D11" s="4">
        <v>125</v>
      </c>
      <c r="E11" s="4">
        <v>37580</v>
      </c>
      <c r="F11" s="22">
        <v>300.64</v>
      </c>
    </row>
    <row r="12" spans="1:21">
      <c r="B12" s="4"/>
      <c r="C12" s="4" t="s">
        <v>40</v>
      </c>
      <c r="D12" s="4">
        <v>125</v>
      </c>
      <c r="E12" s="4">
        <v>38475</v>
      </c>
      <c r="F12" s="22">
        <v>307.8</v>
      </c>
    </row>
    <row r="13" spans="1:21">
      <c r="B13" s="4"/>
      <c r="C13" s="4" t="s">
        <v>23</v>
      </c>
      <c r="D13" s="4">
        <v>141</v>
      </c>
      <c r="E13" s="4">
        <v>39077</v>
      </c>
      <c r="F13" s="22">
        <v>277.141843971631</v>
      </c>
    </row>
    <row r="14" spans="1:21">
      <c r="B14" s="4"/>
      <c r="C14" s="4"/>
      <c r="D14" s="4"/>
      <c r="E14" s="4"/>
      <c r="F14" s="22"/>
    </row>
    <row r="23" spans="6:6">
      <c r="F23" s="24"/>
    </row>
  </sheetData>
  <mergeCells count="1">
    <mergeCell ref="A1:J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showGridLines="0" workbookViewId="0">
      <selection activeCell="I12" sqref="I12"/>
    </sheetView>
  </sheetViews>
  <sheetFormatPr defaultColWidth="9" defaultRowHeight="14.5" outlineLevelRow="7"/>
  <cols>
    <col min="2" max="2" width="18.4545454545455"/>
    <col min="3" max="5" width="13.2727272727273"/>
  </cols>
  <sheetData>
    <row r="1" ht="23.5" spans="1:21">
      <c r="A1" s="21" t="s">
        <v>1706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4" spans="1:21">
      <c r="B4" s="4" t="s">
        <v>7</v>
      </c>
      <c r="C4" s="4" t="s">
        <v>1703</v>
      </c>
      <c r="D4" s="4" t="s">
        <v>1704</v>
      </c>
      <c r="E4" s="4" t="s">
        <v>1705</v>
      </c>
    </row>
    <row r="5" spans="1:21">
      <c r="B5" s="4" t="s">
        <v>31</v>
      </c>
      <c r="C5" s="4">
        <v>255</v>
      </c>
      <c r="D5" s="4">
        <v>78981</v>
      </c>
      <c r="E5" s="22">
        <v>309.729411764706</v>
      </c>
    </row>
    <row r="6" spans="1:21">
      <c r="B6" s="4" t="s">
        <v>40</v>
      </c>
      <c r="C6" s="4">
        <v>254</v>
      </c>
      <c r="D6" s="4">
        <v>73810</v>
      </c>
      <c r="E6" s="22">
        <v>290.590551181102</v>
      </c>
    </row>
    <row r="7" spans="1:21">
      <c r="B7" s="4" t="s">
        <v>23</v>
      </c>
      <c r="C7" s="4">
        <v>285</v>
      </c>
      <c r="D7" s="4">
        <v>80655</v>
      </c>
      <c r="E7" s="22">
        <v>283</v>
      </c>
    </row>
    <row r="8" spans="1:21">
      <c r="B8" s="4" t="s">
        <v>1697</v>
      </c>
      <c r="C8" s="4">
        <v>794</v>
      </c>
      <c r="D8" s="4">
        <v>233446</v>
      </c>
      <c r="E8" s="4">
        <v>294.012594458438</v>
      </c>
    </row>
  </sheetData>
  <mergeCells count="1">
    <mergeCell ref="A1:U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workbookViewId="0">
      <selection activeCell="A16" sqref="A16"/>
    </sheetView>
  </sheetViews>
  <sheetFormatPr defaultColWidth="9" defaultRowHeight="14.5"/>
  <cols>
    <col min="2" max="3" width="29.2727272727273"/>
    <col min="4" max="4" width="12.3636363636364"/>
  </cols>
  <sheetData>
    <row r="1" ht="21" spans="1:21">
      <c r="A1" s="8" t="s">
        <v>1707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>
      <c r="B3" t="s">
        <v>1708</v>
      </c>
      <c r="C3" t="s">
        <v>14</v>
      </c>
      <c r="D3" t="s">
        <v>1704</v>
      </c>
    </row>
    <row r="4" spans="1:21">
      <c r="B4" t="s">
        <v>1709</v>
      </c>
    </row>
    <row r="5" spans="1:21">
      <c r="C5" t="s">
        <v>68</v>
      </c>
      <c r="D5">
        <v>21479</v>
      </c>
    </row>
    <row r="6" spans="1:21">
      <c r="C6" t="s">
        <v>104</v>
      </c>
      <c r="D6">
        <v>9904</v>
      </c>
    </row>
    <row r="7" spans="1:21">
      <c r="B7" t="s">
        <v>1710</v>
      </c>
    </row>
    <row r="8" spans="1:21">
      <c r="C8" t="s">
        <v>47</v>
      </c>
      <c r="D8">
        <v>50605</v>
      </c>
    </row>
    <row r="9" spans="1:21">
      <c r="C9" t="s">
        <v>34</v>
      </c>
      <c r="D9">
        <v>46489</v>
      </c>
    </row>
    <row r="10" spans="1:21">
      <c r="B10" t="s">
        <v>1711</v>
      </c>
    </row>
    <row r="11" spans="1:21">
      <c r="C11" t="s">
        <v>26</v>
      </c>
      <c r="D11">
        <v>52738</v>
      </c>
    </row>
    <row r="12" spans="1:21">
      <c r="C12" t="s">
        <v>42</v>
      </c>
      <c r="D12">
        <v>52231</v>
      </c>
    </row>
  </sheetData>
  <mergeCells count="1">
    <mergeCell ref="A1:U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showGridLines="0" workbookViewId="0">
      <selection activeCell="C13" sqref="C13"/>
    </sheetView>
  </sheetViews>
  <sheetFormatPr defaultColWidth="9" defaultRowHeight="14.5" outlineLevelRow="7"/>
  <cols>
    <col min="2" max="2" width="29.2727272727273"/>
    <col min="3" max="3" width="12.3636363636364"/>
  </cols>
  <sheetData>
    <row r="1" ht="21" spans="1:21">
      <c r="A1" s="8" t="s">
        <v>1712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5" spans="1:21">
      <c r="B5" t="s">
        <v>1713</v>
      </c>
      <c r="C5" t="s">
        <v>1704</v>
      </c>
    </row>
    <row r="6" spans="1:21">
      <c r="B6" t="s">
        <v>34</v>
      </c>
      <c r="C6">
        <v>46489</v>
      </c>
    </row>
    <row r="7" spans="1:21">
      <c r="B7" t="s">
        <v>47</v>
      </c>
      <c r="C7">
        <v>50605</v>
      </c>
    </row>
    <row r="8" spans="1:21">
      <c r="B8" t="s">
        <v>1697</v>
      </c>
      <c r="C8">
        <v>97094</v>
      </c>
    </row>
  </sheetData>
  <mergeCells count="1">
    <mergeCell ref="A1:U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tabSelected="1" workbookViewId="0">
      <selection activeCell="F12" sqref="F12"/>
    </sheetView>
  </sheetViews>
  <sheetFormatPr defaultColWidth="9" defaultRowHeight="14.5"/>
  <cols>
    <col min="3" max="4" width="29.2727272727273"/>
    <col min="5" max="5" width="17.0909090909091"/>
  </cols>
  <sheetData>
    <row r="1" ht="21" spans="1:21">
      <c r="A1" s="8" t="s">
        <v>1714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4" spans="1:21">
      <c r="C4" t="s">
        <v>1708</v>
      </c>
      <c r="D4" t="s">
        <v>14</v>
      </c>
      <c r="E4" t="s">
        <v>1695</v>
      </c>
    </row>
    <row r="5" spans="1:21">
      <c r="C5" t="s">
        <v>1709</v>
      </c>
    </row>
    <row r="6" spans="1:21">
      <c r="D6" t="s">
        <v>68</v>
      </c>
      <c r="E6">
        <v>21479</v>
      </c>
    </row>
    <row r="7" spans="1:21">
      <c r="C7" t="s">
        <v>1710</v>
      </c>
    </row>
    <row r="8" spans="1:21">
      <c r="D8" t="s">
        <v>47</v>
      </c>
      <c r="E8">
        <v>50605</v>
      </c>
    </row>
    <row r="9" spans="1:21">
      <c r="D9" t="s">
        <v>34</v>
      </c>
      <c r="E9">
        <v>46489</v>
      </c>
    </row>
    <row r="10" spans="1:21">
      <c r="C10" t="s">
        <v>1711</v>
      </c>
    </row>
    <row r="11" spans="1:21">
      <c r="D11" t="s">
        <v>26</v>
      </c>
      <c r="E11">
        <v>52738</v>
      </c>
    </row>
    <row r="12" spans="1:21">
      <c r="D12" t="s">
        <v>42</v>
      </c>
      <c r="E12">
        <v>52231</v>
      </c>
    </row>
  </sheetData>
  <mergeCells count="1">
    <mergeCell ref="A1:U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showGridLines="0" workbookViewId="0">
      <selection activeCell="C12" sqref="C12"/>
    </sheetView>
  </sheetViews>
  <sheetFormatPr defaultColWidth="9" defaultRowHeight="14.5"/>
  <cols>
    <col min="2" max="3" width="29.2727272727273"/>
    <col min="4" max="4" width="12.3636363636364"/>
    <col min="5" max="5" width="13.2727272727273"/>
  </cols>
  <sheetData>
    <row r="1" ht="21" spans="1:21">
      <c r="A1" s="8" t="s">
        <v>1715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>
      <c r="B2" t="s">
        <v>12</v>
      </c>
      <c r="C2" t="s">
        <v>1716</v>
      </c>
    </row>
    <row r="4" spans="1:21">
      <c r="B4" t="s">
        <v>1708</v>
      </c>
      <c r="C4" t="s">
        <v>14</v>
      </c>
      <c r="D4" t="s">
        <v>1704</v>
      </c>
      <c r="E4" t="s">
        <v>1705</v>
      </c>
    </row>
    <row r="5" spans="1:21">
      <c r="B5" t="s">
        <v>1709</v>
      </c>
      <c r="D5" s="19"/>
      <c r="E5" s="20"/>
    </row>
    <row r="6" spans="1:21">
      <c r="C6" t="s">
        <v>104</v>
      </c>
      <c r="D6" s="19">
        <v>9904</v>
      </c>
      <c r="E6" s="20">
        <v>282.971428571429</v>
      </c>
    </row>
    <row r="7" spans="1:21">
      <c r="C7" t="s">
        <v>68</v>
      </c>
      <c r="D7" s="19">
        <v>21479</v>
      </c>
      <c r="E7" s="20">
        <v>306.842857142857</v>
      </c>
    </row>
    <row r="8" spans="1:21">
      <c r="B8" t="s">
        <v>1710</v>
      </c>
      <c r="D8" s="19"/>
      <c r="E8" s="20"/>
    </row>
    <row r="9" spans="1:21">
      <c r="C9" t="s">
        <v>34</v>
      </c>
      <c r="D9" s="19">
        <v>46489</v>
      </c>
      <c r="E9" s="20">
        <v>268.722543352601</v>
      </c>
    </row>
    <row r="10" spans="1:21">
      <c r="C10" t="s">
        <v>47</v>
      </c>
      <c r="D10" s="19">
        <v>50605</v>
      </c>
      <c r="E10" s="20">
        <v>299.437869822485</v>
      </c>
    </row>
    <row r="11" spans="1:21">
      <c r="B11" t="s">
        <v>1711</v>
      </c>
      <c r="D11" s="19"/>
      <c r="E11" s="20"/>
    </row>
    <row r="12" spans="1:21">
      <c r="C12" t="s">
        <v>42</v>
      </c>
      <c r="D12" s="19">
        <v>52231</v>
      </c>
      <c r="E12" s="20">
        <v>301.913294797688</v>
      </c>
    </row>
    <row r="13" spans="1:21">
      <c r="C13" t="s">
        <v>26</v>
      </c>
      <c r="D13" s="19">
        <v>52738</v>
      </c>
      <c r="E13" s="20">
        <v>303.091954022989</v>
      </c>
    </row>
  </sheetData>
  <mergeCells count="1">
    <mergeCell ref="A1:U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showGridLines="0" workbookViewId="0">
      <selection activeCell="C7" sqref="C7"/>
    </sheetView>
  </sheetViews>
  <sheetFormatPr defaultColWidth="9" defaultRowHeight="14.5"/>
  <cols>
    <col min="2" max="2" width="22.0909090909091"/>
    <col min="3" max="4" width="17.0909090909091"/>
    <col min="8" max="8" width="14.9090909090909"/>
    <col min="9" max="9" width="17.0909090909091"/>
  </cols>
  <sheetData>
    <row r="1" ht="21" spans="1:21">
      <c r="A1" s="8" t="s">
        <v>1717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4" spans="1:21">
      <c r="B4" t="s">
        <v>3</v>
      </c>
      <c r="C4" t="s">
        <v>1695</v>
      </c>
    </row>
    <row r="5" spans="1:21">
      <c r="B5" t="s">
        <v>1718</v>
      </c>
      <c r="C5" s="19">
        <v>53379</v>
      </c>
    </row>
    <row r="6" spans="1:21">
      <c r="B6" t="s">
        <v>1719</v>
      </c>
      <c r="C6" s="19">
        <v>53887</v>
      </c>
    </row>
    <row r="7" spans="1:21">
      <c r="B7" t="s">
        <v>1720</v>
      </c>
      <c r="C7" s="19">
        <v>60788</v>
      </c>
    </row>
    <row r="8" spans="1:21">
      <c r="B8" t="s">
        <v>1721</v>
      </c>
      <c r="C8" s="19">
        <v>48132</v>
      </c>
    </row>
    <row r="9" spans="1:21">
      <c r="B9" t="s">
        <v>1722</v>
      </c>
      <c r="C9" s="19">
        <v>17260</v>
      </c>
    </row>
  </sheetData>
  <mergeCells count="1">
    <mergeCell ref="A1:U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showGridLines="0" workbookViewId="0">
      <selection activeCell="B10" sqref="B10"/>
    </sheetView>
  </sheetViews>
  <sheetFormatPr defaultColWidth="9" defaultRowHeight="14.5"/>
  <cols>
    <col min="2" max="2" width="22.0909090909091"/>
    <col min="3" max="10" width="22.7272727272727"/>
  </cols>
  <sheetData>
    <row r="1" ht="21" spans="1:21">
      <c r="A1" s="8" t="s">
        <v>1723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>
      <c r="B3" t="s">
        <v>3</v>
      </c>
      <c r="C3" t="s">
        <v>1695</v>
      </c>
      <c r="D3" t="s">
        <v>1724</v>
      </c>
    </row>
    <row r="4" spans="1:21">
      <c r="B4" t="s">
        <v>1718</v>
      </c>
      <c r="C4" s="20">
        <v>53379</v>
      </c>
      <c r="D4" s="18">
        <v>7.0391061452514</v>
      </c>
    </row>
    <row r="5" spans="1:21">
      <c r="B5" t="s">
        <v>1719</v>
      </c>
      <c r="C5" s="20">
        <v>53887</v>
      </c>
      <c r="D5" s="18">
        <v>6.83977900552486</v>
      </c>
    </row>
    <row r="6" spans="1:21">
      <c r="B6" t="s">
        <v>1720</v>
      </c>
      <c r="C6" s="20">
        <v>60788</v>
      </c>
      <c r="D6" s="18">
        <v>7.05445544554455</v>
      </c>
    </row>
    <row r="7" spans="1:21">
      <c r="B7" t="s">
        <v>1721</v>
      </c>
      <c r="C7" s="20">
        <v>48132</v>
      </c>
      <c r="D7" s="18">
        <v>7.12209302325581</v>
      </c>
    </row>
    <row r="8" spans="1:21">
      <c r="B8" t="s">
        <v>1722</v>
      </c>
      <c r="C8" s="20">
        <v>17260</v>
      </c>
      <c r="D8" s="18">
        <v>7.23333333333333</v>
      </c>
    </row>
    <row r="9" spans="1:21">
      <c r="B9" t="s">
        <v>1697</v>
      </c>
      <c r="C9" s="19">
        <v>233446</v>
      </c>
      <c r="D9" s="18">
        <v>7.03022670025189</v>
      </c>
    </row>
  </sheetData>
  <mergeCells count="1">
    <mergeCell ref="A1:U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showGridLines="0" workbookViewId="0">
      <selection activeCell="C13" sqref="C13"/>
    </sheetView>
  </sheetViews>
  <sheetFormatPr defaultColWidth="9" defaultRowHeight="14.5" outlineLevelRow="7"/>
  <cols>
    <col min="2" max="2" width="14.9090909090909"/>
    <col min="3" max="4" width="17.0909090909091"/>
    <col min="5" max="7" width="14.6363636363636"/>
    <col min="8" max="8" width="11.5454545454545"/>
  </cols>
  <sheetData>
    <row r="1" ht="21" spans="1:21">
      <c r="A1" s="8" t="s">
        <v>1725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>
      <c r="B3" t="s">
        <v>3</v>
      </c>
      <c r="C3" t="s">
        <v>1695</v>
      </c>
    </row>
    <row r="4" spans="1:21">
      <c r="B4" t="s">
        <v>1726</v>
      </c>
      <c r="C4" s="19">
        <v>53887</v>
      </c>
    </row>
    <row r="5" spans="1:21">
      <c r="B5" t="s">
        <v>1727</v>
      </c>
      <c r="C5" s="19">
        <v>53379</v>
      </c>
    </row>
    <row r="6" spans="1:21">
      <c r="B6" t="s">
        <v>1728</v>
      </c>
      <c r="C6" s="19">
        <v>60788</v>
      </c>
    </row>
    <row r="7" spans="1:21">
      <c r="B7" t="s">
        <v>1729</v>
      </c>
      <c r="C7" s="19">
        <v>48132</v>
      </c>
    </row>
    <row r="8" spans="1:21">
      <c r="B8" t="s">
        <v>1730</v>
      </c>
      <c r="C8" s="19">
        <v>17260</v>
      </c>
    </row>
  </sheetData>
  <mergeCells count="1">
    <mergeCell ref="A1:U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showGridLines="0" workbookViewId="0">
      <selection activeCell="E10" sqref="E10"/>
    </sheetView>
  </sheetViews>
  <sheetFormatPr defaultColWidth="9" defaultRowHeight="14.5"/>
  <cols>
    <col min="2" max="2" width="20.9090909090909"/>
    <col min="3" max="4" width="22.7272727272727"/>
    <col min="5" max="5" width="22.8181818181818"/>
  </cols>
  <sheetData>
    <row r="1" ht="21" spans="1:21">
      <c r="A1" s="8" t="s">
        <v>1731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>
      <c r="B3" t="s">
        <v>14</v>
      </c>
      <c r="C3" t="s">
        <v>1695</v>
      </c>
      <c r="D3" t="s">
        <v>1724</v>
      </c>
    </row>
    <row r="4" spans="1:21">
      <c r="B4" t="s">
        <v>42</v>
      </c>
      <c r="C4">
        <v>52231</v>
      </c>
      <c r="D4" s="18">
        <v>6.99421965317919</v>
      </c>
    </row>
    <row r="5" spans="1:21">
      <c r="B5" t="s">
        <v>47</v>
      </c>
      <c r="C5">
        <v>50605</v>
      </c>
      <c r="D5" s="18">
        <v>7.02958579881657</v>
      </c>
      <c r="E5" s="18"/>
    </row>
    <row r="6" spans="1:21">
      <c r="B6" t="s">
        <v>26</v>
      </c>
      <c r="C6">
        <v>52738</v>
      </c>
      <c r="D6" s="18">
        <v>7.13218390804598</v>
      </c>
    </row>
    <row r="7" spans="1:21">
      <c r="B7" t="s">
        <v>1697</v>
      </c>
      <c r="C7">
        <v>155574</v>
      </c>
      <c r="D7" s="18">
        <v>7.05232558139535</v>
      </c>
      <c r="E7" s="18"/>
    </row>
    <row r="8" spans="1:21">
      <c r="E8" s="18"/>
    </row>
    <row r="10" spans="1:21">
      <c r="E10" s="18"/>
    </row>
    <row r="12" spans="1:21">
      <c r="B12" t="s">
        <v>14</v>
      </c>
      <c r="C12" t="s">
        <v>1695</v>
      </c>
      <c r="D12" t="s">
        <v>1724</v>
      </c>
    </row>
    <row r="13" spans="1:21">
      <c r="B13" t="s">
        <v>104</v>
      </c>
      <c r="C13">
        <v>9904</v>
      </c>
      <c r="D13" s="18">
        <v>7.05714285714286</v>
      </c>
      <c r="E13" s="18"/>
    </row>
    <row r="14" spans="1:21">
      <c r="B14" t="s">
        <v>34</v>
      </c>
      <c r="C14">
        <v>46489</v>
      </c>
      <c r="D14" s="18">
        <v>7.04624277456648</v>
      </c>
    </row>
    <row r="15" spans="1:21">
      <c r="B15" t="s">
        <v>68</v>
      </c>
      <c r="C15">
        <v>21479</v>
      </c>
      <c r="D15" s="18">
        <v>6.81428571428571</v>
      </c>
      <c r="E15" s="18"/>
    </row>
    <row r="16" spans="1:21">
      <c r="B16" t="s">
        <v>1697</v>
      </c>
      <c r="C16">
        <v>77872</v>
      </c>
      <c r="D16" s="18">
        <v>6.98920863309353</v>
      </c>
      <c r="E16" s="18"/>
    </row>
    <row r="18" spans="5:5">
      <c r="E18" s="18"/>
    </row>
    <row r="20" spans="5:5">
      <c r="E20" s="18"/>
    </row>
    <row r="22" spans="5:5">
      <c r="E22" s="18"/>
    </row>
  </sheetData>
  <mergeCells count="1">
    <mergeCell ref="A1:U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showGridLines="0" workbookViewId="0">
      <selection activeCell="C13" sqref="C13"/>
    </sheetView>
  </sheetViews>
  <sheetFormatPr defaultColWidth="9" defaultRowHeight="14.5"/>
  <cols>
    <col min="3" max="3" width="25.7272727272727"/>
    <col min="4" max="4" width="12.3636363636364"/>
    <col min="5" max="5" width="24.4545454545455"/>
  </cols>
  <sheetData>
    <row r="1" ht="21" spans="1:21">
      <c r="A1" s="8" t="s">
        <v>1732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>
      <c r="A2" t="s">
        <v>1733</v>
      </c>
    </row>
    <row r="3" spans="1:21">
      <c r="A3" t="s">
        <v>1734</v>
      </c>
    </row>
    <row r="4" spans="1:21">
      <c r="A4" t="s">
        <v>1735</v>
      </c>
    </row>
    <row r="7" spans="1:21">
      <c r="C7" s="4" t="s">
        <v>1736</v>
      </c>
      <c r="D7" s="4" t="s">
        <v>1704</v>
      </c>
      <c r="E7" s="4" t="s">
        <v>1737</v>
      </c>
    </row>
    <row r="8" spans="1:21">
      <c r="C8" s="4" t="s">
        <v>1738</v>
      </c>
      <c r="D8" s="17">
        <v>52551</v>
      </c>
      <c r="E8" s="4">
        <v>146</v>
      </c>
    </row>
    <row r="9" spans="1:21">
      <c r="C9" s="4" t="s">
        <v>1739</v>
      </c>
      <c r="D9" s="17">
        <v>64467</v>
      </c>
      <c r="E9" s="4">
        <v>235</v>
      </c>
    </row>
    <row r="10" spans="1:21">
      <c r="C10" s="4" t="s">
        <v>1740</v>
      </c>
      <c r="D10" s="17">
        <v>116428</v>
      </c>
      <c r="E10" s="4">
        <v>399</v>
      </c>
    </row>
  </sheetData>
  <mergeCells count="1">
    <mergeCell ref="A1:U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showGridLines="0" workbookViewId="0">
      <selection activeCell="E16" sqref="E16"/>
    </sheetView>
  </sheetViews>
  <sheetFormatPr defaultColWidth="9" defaultRowHeight="14.5"/>
  <cols>
    <col min="2" max="2" width="17.1818181818182"/>
    <col min="3" max="3" width="19.1818181818182"/>
    <col min="4" max="4" width="12.3636363636364"/>
    <col min="5" max="5" width="7.63636363636364"/>
    <col min="6" max="6" width="14.2727272727273"/>
    <col min="7" max="7" width="22.1818181818182"/>
    <col min="8" max="9" width="27.9090909090909"/>
  </cols>
  <sheetData>
    <row r="1" ht="21" spans="1:21">
      <c r="A1" s="8" t="s">
        <v>1741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>
      <c r="B3" s="4" t="s">
        <v>1742</v>
      </c>
      <c r="C3" s="4" t="s">
        <v>1708</v>
      </c>
      <c r="D3" s="4" t="s">
        <v>1704</v>
      </c>
      <c r="E3" s="4" t="s">
        <v>1743</v>
      </c>
      <c r="F3" s="4" t="s">
        <v>1744</v>
      </c>
    </row>
    <row r="4" spans="1:21">
      <c r="B4" s="4" t="s">
        <v>25</v>
      </c>
      <c r="C4" s="4"/>
      <c r="D4" s="4"/>
      <c r="E4" s="16"/>
      <c r="F4" s="4"/>
    </row>
    <row r="5" spans="1:21">
      <c r="B5" s="4"/>
      <c r="C5" s="4" t="s">
        <v>1745</v>
      </c>
      <c r="D5" s="4">
        <v>17614</v>
      </c>
      <c r="E5" s="16">
        <v>6.80357142857143</v>
      </c>
      <c r="F5" s="4">
        <v>56</v>
      </c>
    </row>
    <row r="6" spans="1:21">
      <c r="B6" s="4"/>
      <c r="C6" s="4" t="s">
        <v>1746</v>
      </c>
      <c r="D6" s="4">
        <v>49726</v>
      </c>
      <c r="E6" s="16">
        <v>7.22222222222222</v>
      </c>
      <c r="F6" s="4">
        <v>171</v>
      </c>
    </row>
    <row r="7" spans="1:21">
      <c r="B7" s="4"/>
      <c r="C7" s="4" t="s">
        <v>1747</v>
      </c>
      <c r="D7" s="4">
        <v>50974</v>
      </c>
      <c r="E7" s="16">
        <v>6.94318181818182</v>
      </c>
      <c r="F7" s="4">
        <v>176</v>
      </c>
    </row>
    <row r="8" spans="1:21">
      <c r="B8" s="4" t="s">
        <v>33</v>
      </c>
      <c r="C8" s="4"/>
      <c r="D8" s="4"/>
      <c r="E8" s="16"/>
      <c r="F8" s="4"/>
    </row>
    <row r="9" spans="1:21">
      <c r="B9" s="4"/>
      <c r="C9" s="4" t="s">
        <v>1745</v>
      </c>
      <c r="D9" s="4">
        <v>13769</v>
      </c>
      <c r="E9" s="16">
        <v>7</v>
      </c>
      <c r="F9" s="4">
        <v>49</v>
      </c>
    </row>
    <row r="10" spans="1:21">
      <c r="B10" s="4"/>
      <c r="C10" s="4" t="s">
        <v>1746</v>
      </c>
      <c r="D10" s="4">
        <v>47368</v>
      </c>
      <c r="E10" s="16">
        <v>6.85380116959064</v>
      </c>
      <c r="F10" s="4">
        <v>171</v>
      </c>
    </row>
    <row r="11" spans="1:21">
      <c r="B11" s="4"/>
      <c r="C11" s="4" t="s">
        <v>1747</v>
      </c>
      <c r="D11" s="4">
        <v>53995</v>
      </c>
      <c r="E11" s="16">
        <v>7.18713450292398</v>
      </c>
      <c r="F11" s="4">
        <v>171</v>
      </c>
    </row>
  </sheetData>
  <mergeCells count="1">
    <mergeCell ref="A1:U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showGridLines="0" workbookViewId="0">
      <selection activeCell="K14" sqref="K14"/>
    </sheetView>
  </sheetViews>
  <sheetFormatPr defaultColWidth="9" defaultRowHeight="14.5"/>
  <cols>
    <col min="2" max="2" width="17.0909090909091"/>
    <col min="3" max="3" width="17.8181818181818" customWidth="1"/>
    <col min="5" max="5" width="20.1818181818182" customWidth="1"/>
    <col min="6" max="6" width="9.09090909090909"/>
  </cols>
  <sheetData>
    <row r="1" ht="21" spans="1:21">
      <c r="A1" s="8" t="s">
        <v>1748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7" spans="1:21">
      <c r="B7" s="9" t="s">
        <v>1695</v>
      </c>
      <c r="E7" s="9" t="s">
        <v>1749</v>
      </c>
    </row>
    <row r="8" spans="1:21">
      <c r="B8" s="10">
        <v>233446</v>
      </c>
      <c r="E8" s="11">
        <v>294.012594458438</v>
      </c>
    </row>
    <row r="10" spans="1:21">
      <c r="B10" t="s">
        <v>4</v>
      </c>
      <c r="C10" t="s">
        <v>1750</v>
      </c>
      <c r="E10" t="s">
        <v>4</v>
      </c>
      <c r="F10" t="s">
        <v>1751</v>
      </c>
    </row>
    <row r="11" spans="1:21">
      <c r="B11" s="12" t="s">
        <v>37</v>
      </c>
      <c r="C11" s="13">
        <v>19152</v>
      </c>
      <c r="E11" s="12" t="s">
        <v>37</v>
      </c>
      <c r="F11" s="14">
        <v>266</v>
      </c>
    </row>
    <row r="12" spans="1:21">
      <c r="B12" s="12" t="s">
        <v>20</v>
      </c>
      <c r="C12" s="13">
        <v>92463</v>
      </c>
      <c r="E12" s="12" t="s">
        <v>20</v>
      </c>
      <c r="F12" s="14">
        <v>308.21</v>
      </c>
    </row>
    <row r="13" spans="1:21">
      <c r="B13" s="12" t="s">
        <v>29</v>
      </c>
      <c r="C13" s="13">
        <v>121831</v>
      </c>
      <c r="E13" s="12" t="s">
        <v>29</v>
      </c>
      <c r="F13" s="14">
        <v>288.699052132701</v>
      </c>
    </row>
    <row r="14" spans="1:21">
      <c r="B14" s="12" t="s">
        <v>1697</v>
      </c>
      <c r="C14" s="13">
        <v>233446</v>
      </c>
      <c r="E14" s="12" t="s">
        <v>1697</v>
      </c>
      <c r="F14" s="14">
        <v>294.012594458438</v>
      </c>
    </row>
    <row r="16" spans="1:21">
      <c r="B16" t="s">
        <v>1752</v>
      </c>
      <c r="C16" t="s">
        <v>1750</v>
      </c>
      <c r="E16" t="s">
        <v>1752</v>
      </c>
      <c r="F16" t="s">
        <v>1751</v>
      </c>
    </row>
    <row r="17" spans="2:6">
      <c r="B17" s="12" t="s">
        <v>1709</v>
      </c>
      <c r="C17" s="13"/>
      <c r="E17" s="12" t="s">
        <v>1709</v>
      </c>
      <c r="F17" s="14"/>
    </row>
    <row r="18" spans="2:6">
      <c r="B18" s="15" t="s">
        <v>104</v>
      </c>
      <c r="C18" s="13">
        <v>9904</v>
      </c>
      <c r="E18" s="15" t="s">
        <v>104</v>
      </c>
      <c r="F18" s="14">
        <v>282.971428571429</v>
      </c>
    </row>
    <row r="19" spans="2:6">
      <c r="B19" s="15" t="s">
        <v>68</v>
      </c>
      <c r="C19" s="13">
        <v>21479</v>
      </c>
      <c r="E19" s="15" t="s">
        <v>68</v>
      </c>
      <c r="F19" s="14">
        <v>306.842857142857</v>
      </c>
    </row>
    <row r="20" spans="2:6">
      <c r="B20" s="12" t="s">
        <v>1710</v>
      </c>
      <c r="C20" s="13"/>
      <c r="E20" s="12" t="s">
        <v>1710</v>
      </c>
      <c r="F20" s="14"/>
    </row>
    <row r="21" spans="2:6">
      <c r="B21" s="15" t="s">
        <v>34</v>
      </c>
      <c r="C21" s="13">
        <v>46489</v>
      </c>
      <c r="E21" s="15" t="s">
        <v>34</v>
      </c>
      <c r="F21" s="14">
        <v>268.722543352601</v>
      </c>
    </row>
    <row r="22" spans="2:6">
      <c r="B22" s="15" t="s">
        <v>47</v>
      </c>
      <c r="C22" s="13">
        <v>50605</v>
      </c>
      <c r="E22" s="15" t="s">
        <v>47</v>
      </c>
      <c r="F22" s="14">
        <v>299.437869822485</v>
      </c>
    </row>
    <row r="23" spans="2:6">
      <c r="B23" s="12" t="s">
        <v>1711</v>
      </c>
      <c r="C23" s="13"/>
      <c r="E23" s="12" t="s">
        <v>1711</v>
      </c>
      <c r="F23" s="14"/>
    </row>
    <row r="24" spans="2:6">
      <c r="B24" s="15" t="s">
        <v>42</v>
      </c>
      <c r="C24" s="13">
        <v>52231</v>
      </c>
      <c r="E24" s="15" t="s">
        <v>42</v>
      </c>
      <c r="F24" s="14">
        <v>301.913294797688</v>
      </c>
    </row>
    <row r="25" spans="2:6">
      <c r="B25" s="15" t="s">
        <v>26</v>
      </c>
      <c r="C25" s="13">
        <v>52738</v>
      </c>
      <c r="E25" s="15" t="s">
        <v>26</v>
      </c>
      <c r="F25" s="14">
        <v>303.091954022989</v>
      </c>
    </row>
    <row r="26" spans="2:6">
      <c r="B26" s="12" t="s">
        <v>1697</v>
      </c>
      <c r="C26" s="13">
        <v>233446</v>
      </c>
      <c r="E26" s="12" t="s">
        <v>1697</v>
      </c>
      <c r="F26" s="14">
        <v>294.012594458438</v>
      </c>
    </row>
  </sheetData>
  <mergeCells count="1">
    <mergeCell ref="A1:U1"/>
  </mergeCells>
  <pageMargins left="0.7" right="0.7" top="0.75" bottom="0.75" header="0.3" footer="0.3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showGridLines="0" workbookViewId="0">
      <selection activeCell="I10" sqref="I10"/>
    </sheetView>
  </sheetViews>
  <sheetFormatPr defaultColWidth="9" defaultRowHeight="14.5"/>
  <cols>
    <col min="2" max="2" width="14.9090909090909"/>
    <col min="3" max="3" width="12.4545454545455"/>
    <col min="5" max="5" width="20.5454545454545"/>
    <col min="6" max="6" width="19.4545454545455"/>
  </cols>
  <sheetData>
    <row r="1" ht="21" spans="1:21">
      <c r="A1" s="8" t="s">
        <v>1753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5" spans="1:21">
      <c r="B5" s="9" t="s">
        <v>1695</v>
      </c>
      <c r="E5" s="9" t="s">
        <v>1749</v>
      </c>
    </row>
    <row r="6" spans="1:21">
      <c r="B6" s="10">
        <v>233446</v>
      </c>
      <c r="E6" s="11">
        <v>294.012594458438</v>
      </c>
    </row>
    <row r="8" spans="1:21">
      <c r="B8" t="s">
        <v>4</v>
      </c>
      <c r="C8" t="s">
        <v>1750</v>
      </c>
      <c r="E8" t="s">
        <v>4</v>
      </c>
      <c r="F8" t="s">
        <v>1751</v>
      </c>
    </row>
    <row r="9" spans="1:21">
      <c r="B9" s="12" t="s">
        <v>37</v>
      </c>
      <c r="C9" s="13">
        <v>19152</v>
      </c>
      <c r="E9" s="12" t="s">
        <v>37</v>
      </c>
      <c r="F9" s="14">
        <v>266</v>
      </c>
    </row>
    <row r="10" spans="1:21">
      <c r="B10" s="12" t="s">
        <v>20</v>
      </c>
      <c r="C10" s="13">
        <v>92463</v>
      </c>
      <c r="E10" s="12" t="s">
        <v>20</v>
      </c>
      <c r="F10" s="14">
        <v>308.21</v>
      </c>
    </row>
    <row r="11" spans="1:21">
      <c r="B11" s="12" t="s">
        <v>29</v>
      </c>
      <c r="C11" s="13">
        <v>121831</v>
      </c>
      <c r="E11" s="12" t="s">
        <v>29</v>
      </c>
      <c r="F11" s="14">
        <v>288.699052132701</v>
      </c>
    </row>
    <row r="12" spans="1:21">
      <c r="B12" s="12" t="s">
        <v>1697</v>
      </c>
      <c r="C12" s="13">
        <v>233446</v>
      </c>
      <c r="E12" s="12" t="s">
        <v>1697</v>
      </c>
      <c r="F12" s="14">
        <v>294.012594458438</v>
      </c>
    </row>
    <row r="14" spans="1:21">
      <c r="B14" t="s">
        <v>1752</v>
      </c>
      <c r="C14" t="s">
        <v>1750</v>
      </c>
      <c r="E14" t="s">
        <v>1752</v>
      </c>
      <c r="F14" t="s">
        <v>1751</v>
      </c>
    </row>
    <row r="15" spans="1:21">
      <c r="B15" s="12" t="s">
        <v>1709</v>
      </c>
      <c r="C15" s="13"/>
      <c r="E15" s="12" t="s">
        <v>1709</v>
      </c>
      <c r="F15" s="14"/>
    </row>
    <row r="16" spans="1:21">
      <c r="B16" s="15" t="s">
        <v>104</v>
      </c>
      <c r="C16" s="13">
        <v>9904</v>
      </c>
      <c r="E16" s="15" t="s">
        <v>104</v>
      </c>
      <c r="F16" s="14">
        <v>282.971428571429</v>
      </c>
    </row>
    <row r="17" spans="2:6">
      <c r="B17" s="15" t="s">
        <v>68</v>
      </c>
      <c r="C17" s="13">
        <v>21479</v>
      </c>
      <c r="E17" s="15" t="s">
        <v>68</v>
      </c>
      <c r="F17" s="14">
        <v>306.842857142857</v>
      </c>
    </row>
    <row r="18" spans="2:6">
      <c r="B18" s="12" t="s">
        <v>1710</v>
      </c>
      <c r="C18" s="13"/>
      <c r="E18" s="12" t="s">
        <v>1710</v>
      </c>
      <c r="F18" s="14"/>
    </row>
    <row r="19" spans="2:6">
      <c r="B19" s="15" t="s">
        <v>34</v>
      </c>
      <c r="C19" s="13">
        <v>46489</v>
      </c>
      <c r="E19" s="15" t="s">
        <v>34</v>
      </c>
      <c r="F19" s="14">
        <v>268.722543352601</v>
      </c>
    </row>
    <row r="20" spans="2:6">
      <c r="B20" s="15" t="s">
        <v>47</v>
      </c>
      <c r="C20" s="13">
        <v>50605</v>
      </c>
      <c r="E20" s="15" t="s">
        <v>47</v>
      </c>
      <c r="F20" s="14">
        <v>299.437869822485</v>
      </c>
    </row>
    <row r="21" spans="2:6">
      <c r="B21" s="12" t="s">
        <v>1711</v>
      </c>
      <c r="C21" s="13"/>
      <c r="E21" s="12" t="s">
        <v>1711</v>
      </c>
      <c r="F21" s="14"/>
    </row>
    <row r="22" spans="2:6">
      <c r="B22" s="15" t="s">
        <v>42</v>
      </c>
      <c r="C22" s="13">
        <v>52231</v>
      </c>
      <c r="E22" s="15" t="s">
        <v>42</v>
      </c>
      <c r="F22" s="14">
        <v>301.913294797688</v>
      </c>
    </row>
    <row r="23" spans="2:6">
      <c r="B23" s="15" t="s">
        <v>26</v>
      </c>
      <c r="C23" s="13">
        <v>52738</v>
      </c>
      <c r="E23" s="15" t="s">
        <v>26</v>
      </c>
      <c r="F23" s="14">
        <v>303.091954022989</v>
      </c>
    </row>
    <row r="24" spans="2:6">
      <c r="B24" s="12" t="s">
        <v>1697</v>
      </c>
      <c r="C24" s="13">
        <v>233446</v>
      </c>
      <c r="E24" s="12" t="s">
        <v>1697</v>
      </c>
      <c r="F24" s="14">
        <v>294.012594458438</v>
      </c>
    </row>
  </sheetData>
  <mergeCells count="1">
    <mergeCell ref="A1:U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38"/>
  <sheetViews>
    <sheetView showGridLines="0" topLeftCell="F5" workbookViewId="0">
      <selection activeCell="R6" sqref="R6"/>
    </sheetView>
  </sheetViews>
  <sheetFormatPr defaultColWidth="9" defaultRowHeight="15.5"/>
  <cols>
    <col min="1" max="1" width="2.27272727272727" style="1" customWidth="1"/>
    <col min="2" max="2" width="26.8181818181818" style="1" customWidth="1"/>
    <col min="3" max="3" width="13" style="1" customWidth="1"/>
    <col min="4" max="4" width="4.63636363636364" style="1" customWidth="1"/>
    <col min="5" max="5" width="29.2727272727273" style="1"/>
    <col min="6" max="6" width="12.8181818181818" style="1"/>
    <col min="7" max="7" width="5.18181818181818" style="1" customWidth="1"/>
    <col min="8" max="8" width="26.3636363636364" style="1" customWidth="1"/>
    <col min="9" max="9" width="11.2727272727273" style="1" customWidth="1"/>
    <col min="10" max="10" width="4.72727272727273" style="1" customWidth="1"/>
    <col min="11" max="11" width="24.2727272727273" style="1" customWidth="1"/>
    <col min="12" max="12" width="20.5454545454545" style="1" customWidth="1"/>
    <col min="13" max="16384" width="9.13636363636364" style="1"/>
  </cols>
  <sheetData>
    <row r="3" spans="2:15">
      <c r="B3" s="2"/>
      <c r="C3" s="2"/>
      <c r="E3" s="2"/>
      <c r="F3" s="2"/>
      <c r="H3" s="2"/>
      <c r="I3" s="2"/>
      <c r="K3" s="2"/>
      <c r="L3" s="2"/>
      <c r="O3" s="3"/>
    </row>
    <row r="4" spans="2:15">
      <c r="B4" s="4" t="s">
        <v>1704</v>
      </c>
      <c r="C4" s="5"/>
      <c r="D4" s="5"/>
      <c r="E4" s="4" t="s">
        <v>1754</v>
      </c>
      <c r="F4" s="4"/>
      <c r="G4" s="5"/>
      <c r="H4" s="4" t="s">
        <v>1755</v>
      </c>
      <c r="I4" s="4"/>
      <c r="J4" s="5"/>
      <c r="K4" s="4" t="s">
        <v>1756</v>
      </c>
      <c r="L4"/>
      <c r="M4"/>
    </row>
    <row r="5" spans="2:15">
      <c r="B5" s="4">
        <v>233446</v>
      </c>
      <c r="C5" s="5"/>
      <c r="D5" s="5"/>
      <c r="E5" s="4">
        <v>7.03022670025189</v>
      </c>
      <c r="F5" s="4"/>
      <c r="G5" s="5"/>
      <c r="H5" s="4">
        <v>794</v>
      </c>
      <c r="I5" s="4"/>
      <c r="J5" s="5"/>
      <c r="K5" s="6">
        <v>0.45165402515493</v>
      </c>
      <c r="L5"/>
      <c r="M5"/>
    </row>
    <row r="6" spans="2:15">
      <c r="K6"/>
      <c r="L6"/>
      <c r="M6"/>
    </row>
    <row r="7" spans="2:15">
      <c r="K7"/>
      <c r="L7"/>
      <c r="M7"/>
    </row>
    <row r="8" spans="2:15">
      <c r="B8" t="s">
        <v>7</v>
      </c>
      <c r="C8" t="s">
        <v>1704</v>
      </c>
      <c r="E8" t="s">
        <v>7</v>
      </c>
      <c r="F8" t="s">
        <v>1754</v>
      </c>
      <c r="H8" t="s">
        <v>7</v>
      </c>
      <c r="I8" t="s">
        <v>1755</v>
      </c>
      <c r="K8" t="s">
        <v>7</v>
      </c>
      <c r="L8" t="s">
        <v>1756</v>
      </c>
      <c r="M8"/>
    </row>
    <row r="9" spans="2:15">
      <c r="B9" t="s">
        <v>31</v>
      </c>
      <c r="C9">
        <v>78981</v>
      </c>
      <c r="E9" t="s">
        <v>31</v>
      </c>
      <c r="F9">
        <v>7.29803921568627</v>
      </c>
      <c r="H9" t="s">
        <v>31</v>
      </c>
      <c r="I9">
        <v>255</v>
      </c>
      <c r="K9" t="s">
        <v>31</v>
      </c>
      <c r="L9" s="7">
        <v>0.44323923053823</v>
      </c>
      <c r="M9"/>
    </row>
    <row r="10" spans="2:15">
      <c r="B10" t="s">
        <v>40</v>
      </c>
      <c r="C10">
        <v>73810</v>
      </c>
      <c r="E10" t="s">
        <v>40</v>
      </c>
      <c r="F10">
        <v>6.89763779527559</v>
      </c>
      <c r="H10" t="s">
        <v>40</v>
      </c>
      <c r="I10">
        <v>254</v>
      </c>
      <c r="K10" t="s">
        <v>40</v>
      </c>
      <c r="L10" s="7">
        <v>0.455111484341566</v>
      </c>
      <c r="M10"/>
    </row>
    <row r="11" spans="2:15">
      <c r="B11" t="s">
        <v>23</v>
      </c>
      <c r="C11">
        <v>80655</v>
      </c>
      <c r="E11" t="s">
        <v>23</v>
      </c>
      <c r="F11">
        <v>6.90877192982456</v>
      </c>
      <c r="H11" t="s">
        <v>23</v>
      </c>
      <c r="I11">
        <v>285</v>
      </c>
      <c r="K11" t="s">
        <v>23</v>
      </c>
      <c r="L11" s="7">
        <v>0.456101667238626</v>
      </c>
      <c r="M11"/>
    </row>
    <row r="12" spans="2:15">
      <c r="B12"/>
      <c r="C12"/>
      <c r="E12"/>
      <c r="F12"/>
      <c r="H12"/>
      <c r="I12"/>
      <c r="K12"/>
      <c r="L12"/>
      <c r="M12"/>
    </row>
    <row r="13" spans="2:15">
      <c r="K13"/>
      <c r="L13"/>
      <c r="M13"/>
    </row>
    <row r="14" spans="2:15">
      <c r="K14"/>
      <c r="L14"/>
      <c r="M14"/>
    </row>
    <row r="15" spans="2:15">
      <c r="B15" t="s">
        <v>14</v>
      </c>
      <c r="C15" t="s">
        <v>1704</v>
      </c>
      <c r="E15" t="s">
        <v>14</v>
      </c>
      <c r="F15" t="s">
        <v>1754</v>
      </c>
      <c r="H15" t="s">
        <v>14</v>
      </c>
      <c r="I15" t="s">
        <v>1755</v>
      </c>
      <c r="K15" t="s">
        <v>14</v>
      </c>
      <c r="L15" t="s">
        <v>1756</v>
      </c>
      <c r="M15"/>
    </row>
    <row r="16" spans="2:15">
      <c r="B16" t="s">
        <v>104</v>
      </c>
      <c r="C16">
        <v>9904</v>
      </c>
      <c r="E16" t="s">
        <v>104</v>
      </c>
      <c r="F16">
        <v>7.05714285714286</v>
      </c>
      <c r="H16" t="s">
        <v>104</v>
      </c>
      <c r="I16">
        <v>35</v>
      </c>
      <c r="K16" t="s">
        <v>104</v>
      </c>
      <c r="L16" s="7">
        <v>0.439893053218536</v>
      </c>
      <c r="M16"/>
    </row>
    <row r="17" spans="2:13">
      <c r="B17" t="s">
        <v>34</v>
      </c>
      <c r="C17">
        <v>46489</v>
      </c>
      <c r="E17" t="s">
        <v>34</v>
      </c>
      <c r="F17">
        <v>7.04624277456648</v>
      </c>
      <c r="H17" t="s">
        <v>34</v>
      </c>
      <c r="I17">
        <v>173</v>
      </c>
      <c r="K17" t="s">
        <v>34</v>
      </c>
      <c r="L17" s="7">
        <v>0.465807639318075</v>
      </c>
      <c r="M17"/>
    </row>
    <row r="18" spans="2:13">
      <c r="B18" t="s">
        <v>42</v>
      </c>
      <c r="C18">
        <v>52231</v>
      </c>
      <c r="E18" t="s">
        <v>42</v>
      </c>
      <c r="F18">
        <v>6.99421965317919</v>
      </c>
      <c r="H18" t="s">
        <v>42</v>
      </c>
      <c r="I18">
        <v>173</v>
      </c>
      <c r="K18" t="s">
        <v>42</v>
      </c>
      <c r="L18" s="7">
        <v>0.451415660617898</v>
      </c>
    </row>
    <row r="19" spans="2:13">
      <c r="B19" t="s">
        <v>47</v>
      </c>
      <c r="C19">
        <v>50605</v>
      </c>
      <c r="E19" t="s">
        <v>47</v>
      </c>
      <c r="F19">
        <v>7.02958579881657</v>
      </c>
      <c r="H19" t="s">
        <v>47</v>
      </c>
      <c r="I19">
        <v>169</v>
      </c>
      <c r="K19" t="s">
        <v>47</v>
      </c>
      <c r="L19" s="7">
        <v>0.451985841132398</v>
      </c>
    </row>
    <row r="20" spans="2:13">
      <c r="B20" t="s">
        <v>68</v>
      </c>
      <c r="C20">
        <v>21479</v>
      </c>
      <c r="E20" t="s">
        <v>68</v>
      </c>
      <c r="F20">
        <v>6.81428571428571</v>
      </c>
      <c r="H20" t="s">
        <v>68</v>
      </c>
      <c r="I20">
        <v>70</v>
      </c>
      <c r="K20" t="s">
        <v>68</v>
      </c>
      <c r="L20" s="7">
        <v>0.493369828425702</v>
      </c>
    </row>
    <row r="21" spans="2:13">
      <c r="B21" t="s">
        <v>26</v>
      </c>
      <c r="C21">
        <v>52738</v>
      </c>
      <c r="D21"/>
      <c r="E21" t="s">
        <v>26</v>
      </c>
      <c r="F21">
        <v>7.13218390804598</v>
      </c>
      <c r="H21" t="s">
        <v>26</v>
      </c>
      <c r="I21">
        <v>174</v>
      </c>
      <c r="K21" t="s">
        <v>26</v>
      </c>
      <c r="L21" s="7">
        <v>0.423079960231426</v>
      </c>
    </row>
    <row r="22" spans="2:13">
      <c r="B22"/>
      <c r="C22"/>
      <c r="D22"/>
      <c r="E22"/>
      <c r="F22"/>
      <c r="H22"/>
      <c r="I22"/>
      <c r="K22"/>
      <c r="L22"/>
    </row>
    <row r="23" spans="2:13">
      <c r="B23"/>
      <c r="C23"/>
      <c r="D23"/>
    </row>
    <row r="24" spans="2:13">
      <c r="B24"/>
      <c r="C24"/>
      <c r="D24"/>
    </row>
    <row r="25" spans="2:13">
      <c r="B25"/>
      <c r="C25"/>
      <c r="D25"/>
    </row>
    <row r="26" spans="2:13">
      <c r="B26"/>
      <c r="C26"/>
      <c r="D26"/>
    </row>
    <row r="27" spans="2:13">
      <c r="B27"/>
      <c r="C27"/>
      <c r="D27"/>
    </row>
    <row r="28" spans="2:13">
      <c r="B28"/>
      <c r="C28"/>
      <c r="D28"/>
    </row>
    <row r="29" spans="2:13">
      <c r="B29"/>
      <c r="C29"/>
      <c r="D29"/>
    </row>
    <row r="30" spans="2:13">
      <c r="B30"/>
      <c r="C30"/>
      <c r="D30"/>
    </row>
    <row r="31" spans="2:13">
      <c r="B31"/>
      <c r="C31"/>
      <c r="D31"/>
    </row>
    <row r="32" spans="2:13">
      <c r="B32"/>
      <c r="C32"/>
      <c r="D32"/>
    </row>
    <row r="33" spans="2:4">
      <c r="B33"/>
      <c r="C33"/>
      <c r="D33"/>
    </row>
    <row r="34" spans="2:4">
      <c r="B34"/>
      <c r="C34"/>
      <c r="D34"/>
    </row>
    <row r="35" spans="2:4">
      <c r="B35"/>
      <c r="C35"/>
      <c r="D35"/>
    </row>
    <row r="36" spans="2:4">
      <c r="B36"/>
      <c r="C36"/>
      <c r="D36"/>
    </row>
    <row r="37" spans="2:4">
      <c r="B37"/>
      <c r="C37"/>
      <c r="D37"/>
    </row>
    <row r="38" spans="2:4">
      <c r="B38"/>
      <c r="C38"/>
      <c r="D38"/>
    </row>
  </sheetData>
  <mergeCells count="4">
    <mergeCell ref="B3:C3"/>
    <mergeCell ref="E3:F3"/>
    <mergeCell ref="H3:I3"/>
    <mergeCell ref="K3:L3"/>
  </mergeCells>
  <pageMargins left="0.7" right="0.7" top="0.75" bottom="0.75" header="0.3" footer="0.3"/>
  <headerFooter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Business Data</vt:lpstr>
      <vt:lpstr>Pv1</vt:lpstr>
      <vt:lpstr>PV2</vt:lpstr>
      <vt:lpstr>PV3</vt:lpstr>
      <vt:lpstr>PV4</vt:lpstr>
      <vt:lpstr>PV5</vt:lpstr>
      <vt:lpstr>PV6</vt:lpstr>
      <vt:lpstr>PV7</vt:lpstr>
      <vt:lpstr>PV8</vt:lpstr>
      <vt:lpstr>PV9</vt:lpstr>
      <vt:lpstr>PV10</vt:lpstr>
      <vt:lpstr>PV13</vt:lpstr>
      <vt:lpstr>PV11</vt:lpstr>
      <vt:lpstr>PV 12</vt:lpstr>
      <vt:lpstr>PV14</vt:lpstr>
      <vt:lpstr>PV15</vt:lpstr>
      <vt:lpstr>PV16</vt:lpstr>
      <vt:lpstr>Assignment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WPS_1787045862</cp:lastModifiedBy>
  <dcterms:created xsi:type="dcterms:W3CDTF">2023-12-28T06:42:00Z</dcterms:created>
  <dcterms:modified xsi:type="dcterms:W3CDTF">2026-10-16T12:11:36Z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BAE07808ABD5406BA029724C029CE9FE_12</vt:lpwstr>
  </property>
</Properties>
</file>