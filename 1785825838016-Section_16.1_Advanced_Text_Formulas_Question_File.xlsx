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18350" windowHeight="6800" activeTab="1"/>
  </bookViews>
  <sheets>
    <sheet name="Text" sheetId="45" r:id="rId1"/>
    <sheet name="Substitute Switch" sheetId="44" r:id="rId2"/>
    <sheet name="Substitute and Replace" sheetId="46" state="hidden" r:id="rId3"/>
    <sheet name="Date Formulas" sheetId="47" state="hidden" r:id="rId4"/>
  </sheets>
  <calcPr calcId="191029"/>
  <customWorkbookViews>
    <customWorkbookView name="countif6" guid="{576A445C-3D9A-438D-AC68-B679E3D65634}" maximized="1" xWindow="-8" yWindow="-8" windowWidth="1382" windowHeight="744" activeSheetId="0"/>
    <customWorkbookView name="countif5" guid="{C1FEC2CE-0AE0-4F12-8438-BD3D230D3830}" maximized="1" xWindow="-8" yWindow="-8" windowWidth="1382" windowHeight="744" activeSheetId="0"/>
    <customWorkbookView name="countif4" guid="{A3C7F73E-8288-4122-801A-9A426BB0DFB8}" maximized="1" xWindow="-8" yWindow="-8" windowWidth="1382" windowHeight="744" activeSheetId="0"/>
    <customWorkbookView name="countif3" guid="{F102CDDA-1DB7-4BD5-8A8F-CD5640485596}" maximized="1" xWindow="-8" yWindow="-8" windowWidth="1382" windowHeight="744" activeSheetId="0"/>
    <customWorkbookView name="countif2" guid="{E18774DE-EF27-4708-91D7-FE2A7EE4C992}" maximized="1" xWindow="-8" yWindow="-8" windowWidth="1382" windowHeight="744" activeSheetId="0"/>
    <customWorkbookView name="countif1" guid="{E3977DAC-58A9-43A5-A2CD-037AE84A3934}" maximized="1" xWindow="-8" yWindow="-8" windowWidth="1382" windowHeight="744" activeSheetId="0"/>
    <customWorkbookView name="averageif6" guid="{0BFB30CE-F6D9-44B3-99BA-62858BF46600}" maximized="1" xWindow="-8" yWindow="-8" windowWidth="1382" windowHeight="744" activeSheetId="0"/>
    <customWorkbookView name="averageif5" guid="{EF2006E2-DE9B-4938-AD6F-8255BE7D529F}" maximized="1" xWindow="-8" yWindow="-8" windowWidth="1382" windowHeight="744" activeSheetId="0"/>
    <customWorkbookView name="averageif4" guid="{5B4753E1-B7DC-40C2-A28F-B07A6CB075FE}" maximized="1" xWindow="-8" yWindow="-8" windowWidth="1382" windowHeight="744" activeSheetId="0"/>
    <customWorkbookView name="averageif3" guid="{672B3D91-11D6-418C-A856-9FF74CE5E6FB}" maximized="1" xWindow="-8" yWindow="-8" windowWidth="1382" windowHeight="744" activeSheetId="0"/>
    <customWorkbookView name="averageif2" guid="{E712F22D-DF79-4936-B86B-186E637372BF}" maximized="1" xWindow="-8" yWindow="-8" windowWidth="1382" windowHeight="744" activeSheetId="0"/>
    <customWorkbookView name="averageif1" guid="{F716839F-5448-40FC-95BC-286199FD6764}" maximized="1" xWindow="-8" yWindow="-8" windowWidth="1382" windowHeight="744" activeSheetId="0"/>
    <customWorkbookView name="sumif6" guid="{8EBF087E-11C5-42EE-B564-FAEE72C86C17}" maximized="1" xWindow="-8" yWindow="-8" windowWidth="1382" windowHeight="744" activeSheetId="0"/>
    <customWorkbookView name="sumif5" guid="{6B1EB7F4-EF59-450E-A531-475C3A6E6150}" maximized="1" xWindow="-8" yWindow="-8" windowWidth="1382" windowHeight="744" activeSheetId="0"/>
    <customWorkbookView name="sumif4" guid="{8F332A92-7271-4FEC-B085-C15AA232FE21}" maximized="1" xWindow="-8" yWindow="-8" windowWidth="1382" windowHeight="744" activeSheetId="0"/>
    <customWorkbookView name="sumif3" guid="{F2A17A28-A3DF-492D-BAE9-AAEF2A13397B}" maximized="1" xWindow="-8" yWindow="-8" windowWidth="1382" windowHeight="744" activeSheetId="0"/>
    <customWorkbookView name="sumif2" guid="{4F11E31F-E14C-416D-BB97-C8CE74658FBE}" maximized="1" xWindow="-8" yWindow="-8" windowWidth="1382" windowHeight="744" activeSheetId="0"/>
    <customWorkbookView name="sumif1" guid="{C090DFAD-A23A-4678-87F2-095D84EBDDE8}" maximized="1" xWindow="-8" yWindow="-8" windowWidth="1382" windowHeight="744" activeSheetId="0"/>
    <customWorkbookView name="sumifs1" guid="{A5292A6B-6F92-4AB3-B051-EF87F39FC489}" maximized="1" xWindow="-8" yWindow="-8" windowWidth="1382" windowHeight="784" activeSheetId="0"/>
    <customWorkbookView name="sumifs2" guid="{6194C141-D0A1-4D58-BA55-90A184525AC3}" maximized="1" xWindow="-8" yWindow="-8" windowWidth="1382" windowHeight="784" activeSheetId="0"/>
    <customWorkbookView name="sumifs3" guid="{7A7FC9A5-F2B5-4894-82BC-4528575F10D4}" maximized="1" xWindow="-8" yWindow="-8" windowWidth="1382" windowHeight="784" activeSheetId="0"/>
    <customWorkbookView name="sumifs4" guid="{EBA5E9C4-A2DB-4DF0-BF75-1243E968318E}" maximized="1" xWindow="-8" yWindow="-8" windowWidth="1382" windowHeight="784" activeSheetId="0"/>
    <customWorkbookView name="sumifs5" guid="{C7330417-67A9-44CF-917F-5F5E2F191AD4}" maximized="1" xWindow="-8" yWindow="-8" windowWidth="1382" windowHeight="784" activeSheetId="0"/>
    <customWorkbookView name="sumifs6" guid="{47C01131-7443-4080-A2BB-6B6AA35C6913}" maximized="1" xWindow="-8" yWindow="-8" windowWidth="1382" windowHeight="784" activeSheetId="0"/>
    <customWorkbookView name="sumifs7" guid="{19DA6E7F-8950-4769-9BBE-2798EFA465A3}" maximized="1" xWindow="-8" yWindow="-8" windowWidth="1382" windowHeight="784" activeSheetId="0"/>
    <customWorkbookView name="sumifs8" guid="{F3CB97AD-592C-4B6E-8AE3-1CD47479060C}" maximized="1" xWindow="-8" yWindow="-8" windowWidth="1382" windowHeight="784" activeSheetId="0"/>
    <customWorkbookView name="averageifs1" guid="{422703F6-63C4-435C-AFE7-1030286678F6}" maximized="1" xWindow="-8" yWindow="-8" windowWidth="1382" windowHeight="784" activeSheetId="0"/>
    <customWorkbookView name="averageifs2" guid="{02D27969-4CD1-473E-A0E8-856AB0664DE8}" maximized="1" xWindow="-8" yWindow="-8" windowWidth="1382" windowHeight="784" activeSheetId="0"/>
    <customWorkbookView name="averageifs3" guid="{1920E7A3-1C9F-4320-81BB-D11544051025}" maximized="1" xWindow="-8" yWindow="-8" windowWidth="1382" windowHeight="784" activeSheetId="0"/>
    <customWorkbookView name="averageifs4" guid="{EC7537C6-1678-41C1-B788-EF4AFFECF769}" maximized="1" xWindow="-8" yWindow="-8" windowWidth="1382" windowHeight="784" activeSheetId="0"/>
    <customWorkbookView name="averageifs5" guid="{E4FF7DB9-14DF-49DB-9F59-1898DDED4DCE}" maximized="1" xWindow="-8" yWindow="-8" windowWidth="1382" windowHeight="784" activeSheetId="0"/>
    <customWorkbookView name="averageifs6" guid="{9AFCAA87-4888-4976-A7C9-C06A34CB6C97}" maximized="1" xWindow="-8" yWindow="-8" windowWidth="1382" windowHeight="784" activeSheetId="0"/>
    <customWorkbookView name="averageifs7" guid="{15D7A002-B247-4A6B-A16B-61BDD9B0066A}" maximized="1" xWindow="-8" yWindow="-8" windowWidth="1382" windowHeight="784" activeSheetId="0"/>
    <customWorkbookView name="averageifs8" guid="{F789A6E6-3D06-4D93-BF02-46FA1A2548B2}" maximized="1" xWindow="-8" yWindow="-8" windowWidth="1382" windowHeight="784" activeSheetId="0"/>
    <customWorkbookView name="countifs1" guid="{629A478C-29B1-4F25-A016-63CE32A1627F}" maximized="1" xWindow="-8" yWindow="-8" windowWidth="1382" windowHeight="784" activeSheetId="0"/>
    <customWorkbookView name="countifs2" guid="{51BA8A3D-4711-49ED-89E2-EBC09DF2AEDC}" maximized="1" xWindow="-8" yWindow="-8" windowWidth="1382" windowHeight="784" activeSheetId="0"/>
    <customWorkbookView name="countifs3" guid="{25A4A7C0-9593-456C-861C-76D101D3FE93}" maximized="1" xWindow="-8" yWindow="-8" windowWidth="1382" windowHeight="784" activeSheetId="0"/>
    <customWorkbookView name="countifs4" guid="{95D39BA8-2B16-4954-ABAC-09AD33A86339}" maximized="1" xWindow="-8" yWindow="-8" windowWidth="1382" windowHeight="784" activeSheetId="0"/>
    <customWorkbookView name="countifs5" guid="{C65059E8-30E8-488B-A0E9-1B7961920C81}" maximized="1" xWindow="-8" yWindow="-8" windowWidth="1382" windowHeight="784" activeSheetId="0"/>
    <customWorkbookView name="countifs6" guid="{644A6A80-0D34-48F6-A071-17016DCD2D6E}" maximized="1" xWindow="-8" yWindow="-8" windowWidth="1382" windowHeight="784" activeSheetId="0"/>
    <customWorkbookView name="countifs7" guid="{CC562453-1E6B-4010-9E1B-775397A26EFA}" maximized="1" xWindow="-8" yWindow="-8" windowWidth="1382" windowHeight="784" activeSheetId="0"/>
    <customWorkbookView name="countifs8" guid="{E1A67331-473F-4161-806C-BE35870C93B5}" maximized="1" xWindow="-8" yWindow="-8" windowWidth="1382" windowHeight="784" activeSheetId="0"/>
    <customWorkbookView name="maxifs1" guid="{C2D3B09E-3326-4084-AD7A-C8013F4130D6}" maximized="1" xWindow="-8" yWindow="-8" windowWidth="1382" windowHeight="784" activeSheetId="0"/>
    <customWorkbookView name="maxifs2" guid="{F92D650A-7143-46D6-8CDA-595FA977193F}" maximized="1" xWindow="-8" yWindow="-8" windowWidth="1382" windowHeight="784" activeSheetId="0"/>
    <customWorkbookView name="maxifs3" guid="{7FCE83C1-0279-4E15-8ADF-7AE60DC9131C}" maximized="1" xWindow="-8" yWindow="-8" windowWidth="1382" windowHeight="784" activeSheetId="0"/>
    <customWorkbookView name="maxifs4" guid="{66733AAA-1B52-4C53-8317-97DE8A748E25}" maximized="1" xWindow="-8" yWindow="-8" windowWidth="1382" windowHeight="784" activeSheetId="0"/>
    <customWorkbookView name="maxifs5" guid="{3803F984-A279-41F1-A517-160B18D90A7B}" maximized="1" xWindow="-8" yWindow="-8" windowWidth="1382" windowHeight="784" activeSheetId="0"/>
    <customWorkbookView name="maxifs6" guid="{40292D04-273C-4BA2-8BEC-F145CB80DE09}" maximized="1" xWindow="-8" yWindow="-8" windowWidth="1382" windowHeight="784" activeSheetId="0"/>
    <customWorkbookView name="maxifs7" guid="{38FB2C7A-5CFF-4CFC-8EEB-670D05614592}" maximized="1" xWindow="-8" yWindow="-8" windowWidth="1382" windowHeight="784" activeSheetId="0"/>
    <customWorkbookView name="maxifs8" guid="{C4FE72FA-CBE8-407E-8EC2-C280F8FC5007}" maximized="1" xWindow="-8" yWindow="-8" windowWidth="1382" windowHeight="784" activeSheetId="0"/>
    <customWorkbookView name="minifs1" guid="{BCAB4838-A37A-4BCF-A9C9-CC50C95F58C7}" maximized="1" xWindow="-8" yWindow="-8" windowWidth="1382" windowHeight="784" activeSheetId="0"/>
    <customWorkbookView name="minifs2" guid="{F518ECB9-5D92-41E0-BFD2-C5175A02444D}" maximized="1" xWindow="-8" yWindow="-8" windowWidth="1382" windowHeight="784" activeSheetId="0"/>
    <customWorkbookView name="minifs3" guid="{FEB5A49F-F7F7-412A-BE72-F90F7A4799C8}" maximized="1" xWindow="-8" yWindow="-8" windowWidth="1382" windowHeight="784" activeSheetId="0"/>
    <customWorkbookView name="minifs4" guid="{F9A03991-7A83-41AE-B603-3D22265CDA22}" maximized="1" xWindow="-8" yWindow="-8" windowWidth="1382" windowHeight="784" activeSheetId="0"/>
    <customWorkbookView name="minifs5" guid="{8A25BF65-C908-4B2F-9805-3CD39BD4330E}" maximized="1" xWindow="-8" yWindow="-8" windowWidth="1382" windowHeight="784" activeSheetId="0"/>
    <customWorkbookView name="minifs6" guid="{5C8F4C13-387F-42D2-8CB5-92C4886D7919}" maximized="1" xWindow="-8" yWindow="-8" windowWidth="1382" windowHeight="784" activeSheetId="0"/>
    <customWorkbookView name="minifs7" guid="{395DC3D6-3299-4A43-88E2-62703FCC0349}" maximized="1" xWindow="-8" yWindow="-8" windowWidth="1382" windowHeight="784" activeSheetId="0"/>
    <customWorkbookView name="minifs8" guid="{FC8D231F-57F9-45EE-9DEF-D7ED111600EB}" maximized="1" xWindow="-8" yWindow="-8" windowWidth="1382" windowHeight="784" activeSheetId="0"/>
    <customWorkbookView name="floor" guid="{7A9AB605-DB82-470C-B86B-95E2AB3523F6}" maximized="1" xWindow="-8" yWindow="-8" windowWidth="1382" windowHeight="784" activeSheetId="0"/>
    <customWorkbookView name="ceiling" guid="{0125BE01-BBC8-4E5A-9A9A-3D1257916B8C}" maximized="1" xWindow="-8" yWindow="-8" windowWidth="1382" windowHeight="784" activeSheetId="0"/>
    <customWorkbookView name="roundup" guid="{8BEA0E04-8B9A-4A2D-9B80-4E7685E22D5E}" maximized="1" xWindow="-8" yWindow="-8" windowWidth="1382" windowHeight="784" activeSheetId="0"/>
    <customWorkbookView name="rounddown" guid="{EE4A95A5-BF42-4BAA-B9EB-84A9230A28F9}" maximized="1" xWindow="-8" yWindow="-8" windowWidth="1382" windowHeight="784" activeSheetId="0"/>
    <customWorkbookView name="mround" guid="{2032DE14-E33D-44B5-9022-A2B48F059704}" maximized="1" xWindow="-8" yWindow="-8" windowWidth="1382" windowHeight="784" activeSheetId="0"/>
    <customWorkbookView name="hardconcat" guid="{DFB07116-697D-42FF-ACBD-E8FE92938B16}" maximized="1" xWindow="-8" yWindow="-8" windowWidth="1382" windowHeight="784" activeSheetId="0"/>
    <customWorkbookView name="concat" guid="{AD9596A8-734D-48AD-8922-A58933E39AB8}" maximized="1" xWindow="-8" yWindow="-8" windowWidth="1382" windowHeight="784" activeSheetId="0"/>
    <customWorkbookView name="textjoin" guid="{A979108F-FF23-4967-8663-1A0C9618D854}" maximized="1" xWindow="-8" yWindow="-8" windowWidth="1382" windowHeight="784" activeSheetId="0"/>
    <customWorkbookView name="upper" guid="{E065FC95-9F37-4AD0-A6AF-202A080459EB}" maximized="1" xWindow="-8" yWindow="-8" windowWidth="1382" windowHeight="784" activeSheetId="44"/>
    <customWorkbookView name="lower" guid="{57F7A421-8FD3-4470-813D-526D207C0AED}" maximized="1" xWindow="-8" yWindow="-8" windowWidth="1382" windowHeight="784" activeSheetId="44"/>
    <customWorkbookView name="proper" guid="{31F90F3E-FB31-437F-ADCE-44D58804C41D}" maximized="1" xWindow="-8" yWindow="-8" windowWidth="1382" windowHeight="784" activeSheetId="44"/>
    <customWorkbookView name="left" guid="{AC1AC0BB-7D81-4427-80BF-DB36D3CC12C1}" maximized="1" xWindow="-8" yWindow="-8" windowWidth="1382" windowHeight="784" activeSheetId="45"/>
    <customWorkbookView name="right" guid="{06F040C9-291C-44DD-A11A-B2BAF2078CA1}" maximized="1" xWindow="-8" yWindow="-8" windowWidth="1382" windowHeight="784" activeSheetId="45"/>
    <customWorkbookView name="mid" guid="{8DC39A41-9961-4A5C-8659-B8A82A01A470}" maximized="1" xWindow="-8" yWindow="-8" windowWidth="1382" windowHeight="784" activeSheetId="45"/>
    <customWorkbookView name="sum" guid="{9967D63C-4135-4BF7-A83B-0EC0A28A8504}" maximized="1" xWindow="-8" yWindow="-8" windowWidth="1382" windowHeight="784" activeSheetId="0"/>
    <customWorkbookView name="average" guid="{28C5C254-2672-4A7F-9398-2FA6F99EE3FF}" maximized="1" xWindow="-8" yWindow="-8" windowWidth="1382" windowHeight="784" activeSheetId="0"/>
    <customWorkbookView name="count" guid="{AE37E6D9-7485-4A75-9115-FDBD1A6E08D0}" maximized="1" xWindow="-8" yWindow="-8" windowWidth="1382" windowHeight="784" activeSheetId="0"/>
    <customWorkbookView name="counta" guid="{73745901-4C3A-49DD-83C4-0AEBB167DB63}" maximized="1" xWindow="-8" yWindow="-8" windowWidth="1382" windowHeight="784" activeSheetId="0"/>
    <customWorkbookView name="max" guid="{5B82F60B-B869-45D3-9A7D-2B843E789197}" maximized="1" xWindow="-8" yWindow="-8" windowWidth="1382" windowHeight="784" activeSheetId="0"/>
    <customWorkbookView name="min" guid="{4725FB26-BADE-478E-8CB6-C0172942A9EE}" maximized="1" xWindow="-8" yWindow="-8" windowWidth="1382" windowHeight="784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<sst xmlns="http://schemas.openxmlformats.org/spreadsheetml/2006/main" count="403" uniqueCount="75">
  <si>
    <t>Fruit Name</t>
  </si>
  <si>
    <t>Price</t>
  </si>
  <si>
    <t>Vendor</t>
  </si>
  <si>
    <t>Sale Date</t>
  </si>
  <si>
    <t>First 2 Characters</t>
  </si>
  <si>
    <t>Apple</t>
  </si>
  <si>
    <t>Amazon</t>
  </si>
  <si>
    <t>Orange</t>
  </si>
  <si>
    <t>BigBasket</t>
  </si>
  <si>
    <t>Kiwi</t>
  </si>
  <si>
    <t>Walmart</t>
  </si>
  <si>
    <t>Extract the Price after rounding it to the nearest value. Example 7.85 to become "8", using text formula</t>
  </si>
  <si>
    <t>Pineapple</t>
  </si>
  <si>
    <t>Lyft</t>
  </si>
  <si>
    <t>Grapes</t>
  </si>
  <si>
    <t>DoorDash</t>
  </si>
  <si>
    <t>Banana</t>
  </si>
  <si>
    <t>Google</t>
  </si>
  <si>
    <t>Month (Name)</t>
  </si>
  <si>
    <t>Extract the Month Name from the Date</t>
  </si>
  <si>
    <t>Extract AM/PM</t>
  </si>
  <si>
    <t>Extract the AM or PM timings from the date timestamp</t>
  </si>
  <si>
    <t>Day (Numbers)</t>
  </si>
  <si>
    <t>Extract only the day info onto the cells</t>
  </si>
  <si>
    <t>Day (Short Day)</t>
  </si>
  <si>
    <t>Extract only the day info onto the cells (3 charactered days)</t>
  </si>
  <si>
    <t>Dress Type</t>
  </si>
  <si>
    <t>Dress Size</t>
  </si>
  <si>
    <t>Brand</t>
  </si>
  <si>
    <t>Extracted Brand Name</t>
  </si>
  <si>
    <t>Shirt</t>
  </si>
  <si>
    <t>S</t>
  </si>
  <si>
    <t>Louis Vuitton</t>
  </si>
  <si>
    <t>Pants</t>
  </si>
  <si>
    <t>Burberry</t>
  </si>
  <si>
    <t>M</t>
  </si>
  <si>
    <t>Chanel</t>
  </si>
  <si>
    <t>Substitute all the S size dress into XS</t>
  </si>
  <si>
    <t>H&amp;M</t>
  </si>
  <si>
    <t>L</t>
  </si>
  <si>
    <t>Ralph Lauren</t>
  </si>
  <si>
    <t>Levi's</t>
  </si>
  <si>
    <t>Omega</t>
  </si>
  <si>
    <t>Under Armour</t>
  </si>
  <si>
    <t>Michael Kors</t>
  </si>
  <si>
    <t>Updated Vendors</t>
  </si>
  <si>
    <t>Replace the 3rd character of the vendor with "A"</t>
  </si>
  <si>
    <t>New Size</t>
  </si>
  <si>
    <t>LOUIS VUITTON</t>
  </si>
  <si>
    <t>BURBERRY</t>
  </si>
  <si>
    <t>CHANEL</t>
  </si>
  <si>
    <t>Switch the Sizes in the follow Order</t>
  </si>
  <si>
    <t>RALPH LAUREN</t>
  </si>
  <si>
    <t>Old Size</t>
  </si>
  <si>
    <t>LEVI'S</t>
  </si>
  <si>
    <t>XS</t>
  </si>
  <si>
    <t>OMEGA</t>
  </si>
  <si>
    <t>UNDER ARMOUR</t>
  </si>
  <si>
    <t>MICHAEL KORS</t>
  </si>
  <si>
    <t>Name</t>
  </si>
  <si>
    <t>Task</t>
  </si>
  <si>
    <t>Final Version of the Task Description</t>
  </si>
  <si>
    <t>Siddhartha</t>
  </si>
  <si>
    <t>His Shirt size is S of Louis Vuitton</t>
  </si>
  <si>
    <t>Sajita</t>
  </si>
  <si>
    <t>His Pants size is S of Burberry</t>
  </si>
  <si>
    <t>Vivek</t>
  </si>
  <si>
    <t>His Shirt size is M of Chanel</t>
  </si>
  <si>
    <t>Jeet</t>
  </si>
  <si>
    <t>His Pants size is M of H&amp;M</t>
  </si>
  <si>
    <t>Praveen</t>
  </si>
  <si>
    <t>His Shirt size is L of Ralph Lauren</t>
  </si>
  <si>
    <t>Bought On</t>
  </si>
  <si>
    <t>Today</t>
  </si>
  <si>
    <t>How Many Days it has been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</si>
</sst>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yy\ hh:mm"/>
  </numFmts>
  <fonts count="2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595959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595959"/>
      <name val="Calibri"/>
      <charset val="134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CF49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rgb="FFBDFFD5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readingOrder="1"/>
    </xf>
    <xf numFmtId="180" fontId="2" fillId="0" borderId="1" xfId="0" applyNumberFormat="1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readingOrder="1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 vertical="center" wrapText="1"/>
    </xf>
    <xf numFmtId="181" fontId="2" fillId="0" borderId="1" xfId="0" applyNumberFormat="1" applyFont="1" applyBorder="1" applyAlignment="1">
      <alignment horizontal="center" vertical="center" readingOrder="1"/>
    </xf>
    <xf numFmtId="0" fontId="4" fillId="4" borderId="2" xfId="0" applyFont="1" applyFill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5" fillId="3" borderId="0" xfId="0" applyFont="1" applyFill="1" applyAlignment="1">
      <alignment horizontal="left" vertical="center" wrapText="1"/>
    </xf>
    <xf numFmtId="2" fontId="0" fillId="0" borderId="0" xfId="0" applyNumberFormat="1"/>
    <xf numFmtId="2" fontId="2" fillId="0" borderId="0" xfId="0" applyNumberFormat="1" applyFont="1" applyAlignment="1">
      <alignment horizontal="center" vertical="center" readingOrder="1"/>
    </xf>
    <xf numFmtId="181" fontId="2" fillId="0" borderId="0" xfId="0" applyNumberFormat="1" applyFont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1B9ABECC-3E86-4285-B33D-F07FBB38BC12}"/>
  </tableStyles>
  <colors>
    <mruColors>
      <color rgb="00FFB48F"/>
      <color rgb="0066FF99"/>
      <color rgb="00FCF492"/>
      <color rgb="00FF97B7"/>
      <color rgb="00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ext!A50"/><Relationship Id="rId2" Type="http://schemas.openxmlformats.org/officeDocument/2006/relationships/hyperlink" Target="#Text!A35"/><Relationship Id="rId1" Type="http://schemas.openxmlformats.org/officeDocument/2006/relationships/hyperlink" Target="#'LEFT, RIGHT &amp; MID'!F5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Substitute Switch'!A47"/><Relationship Id="rId2" Type="http://schemas.openxmlformats.org/officeDocument/2006/relationships/hyperlink" Target="#'Substitute Switch'!A32"/><Relationship Id="rId1" Type="http://schemas.openxmlformats.org/officeDocument/2006/relationships/hyperlink" Target="#'Substitute Switch'!F5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125157</xdr:colOff>
      <xdr:row>1</xdr:row>
      <xdr:rowOff>24888</xdr:rowOff>
    </xdr:to>
    <xdr:sp macro="[0]!Sheet21.left">
      <xdr:nvSpPr>
        <xdr:cNvPr id="2" name="Graphic 7" descr="Play">
          <a:hlinkClick xmlns:r="http://schemas.openxmlformats.org/officeDocument/2006/relationships" r:id="rId1"/>
        </xdr:cNvPr>
        <xdr:cNvSpPr/>
      </xdr:nvSpPr>
      <xdr:spPr>
        <a:xfrm>
          <a:off x="0" y="0"/>
          <a:ext cx="742315" cy="208915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  <xdr:twoCellAnchor>
    <xdr:from>
      <xdr:col>11</xdr:col>
      <xdr:colOff>0</xdr:colOff>
      <xdr:row>12</xdr:row>
      <xdr:rowOff>0</xdr:rowOff>
    </xdr:from>
    <xdr:to>
      <xdr:col>12</xdr:col>
      <xdr:colOff>357186</xdr:colOff>
      <xdr:row>12</xdr:row>
      <xdr:rowOff>222252</xdr:rowOff>
    </xdr:to>
    <xdr:sp macro="[0]!Sheet21.right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9209405" y="2670175"/>
          <a:ext cx="974090" cy="2222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  <a:endParaRPr lang="en-IN" sz="1000" b="1"/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12</xdr:col>
      <xdr:colOff>357186</xdr:colOff>
      <xdr:row>30</xdr:row>
      <xdr:rowOff>222252</xdr:rowOff>
    </xdr:to>
    <xdr:sp macro="[0]!Sheet21.mid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9209405" y="6496050"/>
          <a:ext cx="974090" cy="2222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</a:t>
          </a:r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Next</a:t>
          </a:r>
          <a:endParaRPr lang="en-IN" sz="1000" b="1"/>
        </a:p>
      </xdr:txBody>
    </xdr:sp>
    <xdr:clientData/>
  </xdr:twoCellAnchor>
  <xdr:twoCellAnchor>
    <xdr:from>
      <xdr:col>11</xdr:col>
      <xdr:colOff>0</xdr:colOff>
      <xdr:row>63</xdr:row>
      <xdr:rowOff>0</xdr:rowOff>
    </xdr:from>
    <xdr:to>
      <xdr:col>12</xdr:col>
      <xdr:colOff>357186</xdr:colOff>
      <xdr:row>63</xdr:row>
      <xdr:rowOff>222252</xdr:rowOff>
    </xdr:to>
    <xdr:sp macro="[0]!Sheet21.right">
      <xdr:nvSpPr>
        <xdr:cNvPr id="5" name="Rectangle: Rounded Corners 2">
          <a:hlinkClick xmlns:r="http://schemas.openxmlformats.org/officeDocument/2006/relationships" r:id="rId2"/>
        </xdr:cNvPr>
        <xdr:cNvSpPr/>
      </xdr:nvSpPr>
      <xdr:spPr>
        <a:xfrm>
          <a:off x="9209405" y="13592175"/>
          <a:ext cx="974090" cy="2222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  <a:endParaRPr lang="en-IN" sz="1000" b="1"/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12</xdr:col>
      <xdr:colOff>357186</xdr:colOff>
      <xdr:row>81</xdr:row>
      <xdr:rowOff>222252</xdr:rowOff>
    </xdr:to>
    <xdr:sp macro="[0]!Sheet21.right">
      <xdr:nvSpPr>
        <xdr:cNvPr id="6" name="Rectangle: Rounded Corners 2">
          <a:hlinkClick xmlns:r="http://schemas.openxmlformats.org/officeDocument/2006/relationships" r:id="rId2"/>
        </xdr:cNvPr>
        <xdr:cNvSpPr/>
      </xdr:nvSpPr>
      <xdr:spPr>
        <a:xfrm>
          <a:off x="9209405" y="17414875"/>
          <a:ext cx="974090" cy="2222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  <a:endParaRPr lang="en-IN" sz="1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125157</xdr:colOff>
      <xdr:row>1</xdr:row>
      <xdr:rowOff>24888</xdr:rowOff>
    </xdr:to>
    <xdr:sp macro="[0]!Sheet23.upper">
      <xdr:nvSpPr>
        <xdr:cNvPr id="2" name="Graphic 7" descr="Play">
          <a:hlinkClick xmlns:r="http://schemas.openxmlformats.org/officeDocument/2006/relationships" r:id="rId1"/>
        </xdr:cNvPr>
        <xdr:cNvSpPr/>
      </xdr:nvSpPr>
      <xdr:spPr>
        <a:xfrm>
          <a:off x="0" y="0"/>
          <a:ext cx="742315" cy="208915"/>
        </a:xfrm>
        <a:prstGeom prst="roundRect">
          <a:avLst>
            <a:gd name="adj" fmla="val 50000"/>
          </a:avLst>
        </a:prstGeom>
        <a:solidFill>
          <a:srgbClr val="FFB48F"/>
        </a:solidFill>
        <a:ln w="2480" cap="flat">
          <a:noFill/>
          <a:prstDash val="solid"/>
          <a:miter/>
        </a:ln>
      </xdr:spPr>
      <xdr:txBody>
        <a:bodyPr rtlCol="0" anchor="ctr"/>
        <a:lstStyle/>
        <a:p>
          <a:pPr algn="ctr"/>
          <a:r>
            <a:rPr lang="en-IN"/>
            <a:t>Start</a:t>
          </a:r>
          <a:endParaRPr lang="en-IN"/>
        </a:p>
      </xdr:txBody>
    </xdr:sp>
    <xdr:clientData/>
  </xdr:twoCellAnchor>
  <xdr:twoCellAnchor>
    <xdr:from>
      <xdr:col>10</xdr:col>
      <xdr:colOff>0</xdr:colOff>
      <xdr:row>12</xdr:row>
      <xdr:rowOff>0</xdr:rowOff>
    </xdr:from>
    <xdr:to>
      <xdr:col>11</xdr:col>
      <xdr:colOff>357186</xdr:colOff>
      <xdr:row>12</xdr:row>
      <xdr:rowOff>222252</xdr:rowOff>
    </xdr:to>
    <xdr:sp macro="[0]!Sheet23.lower">
      <xdr:nvSpPr>
        <xdr:cNvPr id="3" name="Rectangle: Rounded Corners 2">
          <a:hlinkClick xmlns:r="http://schemas.openxmlformats.org/officeDocument/2006/relationships" r:id="rId2"/>
        </xdr:cNvPr>
        <xdr:cNvSpPr/>
      </xdr:nvSpPr>
      <xdr:spPr>
        <a:xfrm>
          <a:off x="9580245" y="2670175"/>
          <a:ext cx="974090" cy="2222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Next</a:t>
          </a:r>
          <a:endParaRPr lang="en-IN" sz="1000" b="1"/>
        </a:p>
      </xdr:txBody>
    </xdr:sp>
    <xdr:clientData/>
  </xdr:twoCellAnchor>
  <xdr:twoCellAnchor>
    <xdr:from>
      <xdr:col>10</xdr:col>
      <xdr:colOff>0</xdr:colOff>
      <xdr:row>27</xdr:row>
      <xdr:rowOff>0</xdr:rowOff>
    </xdr:from>
    <xdr:to>
      <xdr:col>11</xdr:col>
      <xdr:colOff>357186</xdr:colOff>
      <xdr:row>27</xdr:row>
      <xdr:rowOff>222252</xdr:rowOff>
    </xdr:to>
    <xdr:sp macro="[0]!Sheet23.proper">
      <xdr:nvSpPr>
        <xdr:cNvPr id="4" name="Rectangle: Rounded Corners 3">
          <a:hlinkClick xmlns:r="http://schemas.openxmlformats.org/officeDocument/2006/relationships" r:id="rId3"/>
        </xdr:cNvPr>
        <xdr:cNvSpPr/>
      </xdr:nvSpPr>
      <xdr:spPr>
        <a:xfrm>
          <a:off x="9580245" y="5943600"/>
          <a:ext cx="974090" cy="222250"/>
        </a:xfrm>
        <a:prstGeom prst="roundRect">
          <a:avLst>
            <a:gd name="adj" fmla="val 50000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000" b="1"/>
            <a:t>Go to </a:t>
          </a:r>
          <a:r>
            <a:rPr lang="en-I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Next</a:t>
          </a:r>
          <a:endParaRPr lang="en-IN" sz="1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C4:M82"/>
  <sheetViews>
    <sheetView showGridLines="0" zoomScale="90" zoomScaleNormal="90" workbookViewId="0">
      <selection activeCell="A1" sqref="A1"/>
    </sheetView>
  </sheetViews>
  <sheetFormatPr defaultColWidth="8.83636363636364" defaultRowHeight="14.5"/>
  <cols>
    <col min="3" max="3" width="13.5" customWidth="1"/>
    <col min="4" max="4" width="8.5" customWidth="1"/>
    <col min="5" max="5" width="12.5" customWidth="1"/>
    <col min="6" max="7" width="22.1636363636364" customWidth="1"/>
  </cols>
  <sheetData>
    <row r="4" ht="18.5" spans="3:1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</row>
    <row r="5" ht="18.5" spans="3:13">
      <c r="C5" s="2" t="s">
        <v>5</v>
      </c>
      <c r="D5" s="2">
        <v>7.85</v>
      </c>
      <c r="E5" s="2" t="s">
        <v>6</v>
      </c>
      <c r="F5" s="8">
        <v>44888.4765625</v>
      </c>
      <c r="G5" s="8" t="str">
        <f xml:space="preserve">TEXT(D5,"0")</f>
        <v>8</v>
      </c>
    </row>
    <row r="6" ht="18.5" spans="3:13">
      <c r="C6" s="2" t="s">
        <v>7</v>
      </c>
      <c r="D6" s="2">
        <v>3.25</v>
      </c>
      <c r="E6" s="2" t="s">
        <v>8</v>
      </c>
      <c r="F6" s="8">
        <v>45232.4876388889</v>
      </c>
      <c r="G6" s="8" t="str">
        <f t="shared" ref="G6:G13" si="0" xml:space="preserve">TEXT(D6,"0")</f>
        <v>3</v>
      </c>
    </row>
    <row r="7" ht="18.75" customHeight="1" spans="3:13">
      <c r="C7" s="2" t="s">
        <v>9</v>
      </c>
      <c r="D7" s="2">
        <v>12.5</v>
      </c>
      <c r="E7" s="2" t="s">
        <v>10</v>
      </c>
      <c r="F7" s="8">
        <v>45253.4990277778</v>
      </c>
      <c r="G7" s="8" t="str">
        <f t="shared" si="0"/>
        <v>13</v>
      </c>
      <c r="I7" s="12" t="s">
        <v>11</v>
      </c>
      <c r="J7" s="12"/>
      <c r="K7" s="12"/>
      <c r="L7" s="12"/>
      <c r="M7" s="12"/>
    </row>
    <row r="8" ht="18.5" spans="3:13">
      <c r="C8" s="2" t="s">
        <v>12</v>
      </c>
      <c r="D8" s="2">
        <v>6.35</v>
      </c>
      <c r="E8" s="2" t="s">
        <v>13</v>
      </c>
      <c r="F8" s="8">
        <v>44852.5053819444</v>
      </c>
      <c r="G8" s="8" t="str">
        <f t="shared" si="0"/>
        <v>6</v>
      </c>
      <c r="I8" s="12"/>
      <c r="J8" s="12"/>
      <c r="K8" s="12"/>
      <c r="L8" s="12"/>
      <c r="M8" s="12"/>
    </row>
    <row r="9" ht="18.5" spans="3:13">
      <c r="C9" s="2" t="s">
        <v>14</v>
      </c>
      <c r="D9" s="2">
        <v>2.5</v>
      </c>
      <c r="E9" s="2" t="s">
        <v>15</v>
      </c>
      <c r="F9" s="8">
        <v>44888.520162037</v>
      </c>
      <c r="G9" s="8" t="str">
        <f t="shared" si="0"/>
        <v>3</v>
      </c>
    </row>
    <row r="10" ht="18.5" spans="3:13">
      <c r="C10" s="2" t="s">
        <v>16</v>
      </c>
      <c r="D10" s="2">
        <v>6.5</v>
      </c>
      <c r="E10" s="2" t="s">
        <v>17</v>
      </c>
      <c r="F10" s="8">
        <v>44923.5736921296</v>
      </c>
      <c r="G10" s="8" t="str">
        <f t="shared" si="0"/>
        <v>7</v>
      </c>
    </row>
    <row r="11" ht="18.5" spans="3:13">
      <c r="C11" s="2" t="s">
        <v>5</v>
      </c>
      <c r="D11" s="2">
        <v>8.75</v>
      </c>
      <c r="E11" s="2" t="s">
        <v>6</v>
      </c>
      <c r="F11" s="8">
        <v>44888.5938310185</v>
      </c>
      <c r="G11" s="8" t="str">
        <f t="shared" si="0"/>
        <v>9</v>
      </c>
    </row>
    <row r="12" ht="18.5" spans="3:13">
      <c r="C12" s="2" t="s">
        <v>12</v>
      </c>
      <c r="D12" s="2">
        <v>4.65</v>
      </c>
      <c r="E12" s="2" t="s">
        <v>13</v>
      </c>
      <c r="F12" s="8">
        <v>44888.6564236111</v>
      </c>
      <c r="G12" s="8" t="str">
        <f t="shared" si="0"/>
        <v>5</v>
      </c>
    </row>
    <row r="13" ht="18.5" spans="3:13">
      <c r="C13" s="2" t="s">
        <v>5</v>
      </c>
      <c r="D13" s="2">
        <v>12.85</v>
      </c>
      <c r="E13" s="2" t="s">
        <v>6</v>
      </c>
      <c r="F13" s="8">
        <v>44889.6753009259</v>
      </c>
      <c r="G13" s="8" t="str">
        <f t="shared" si="0"/>
        <v>13</v>
      </c>
    </row>
    <row r="14" spans="3:13">
      <c r="G14" s="13"/>
    </row>
    <row r="22" ht="18.5" spans="3:13">
      <c r="C22" s="1" t="s">
        <v>0</v>
      </c>
      <c r="D22" s="1" t="s">
        <v>1</v>
      </c>
      <c r="E22" s="1" t="s">
        <v>2</v>
      </c>
      <c r="F22" s="1" t="s">
        <v>3</v>
      </c>
      <c r="G22" s="1" t="s">
        <v>18</v>
      </c>
    </row>
    <row r="23" ht="18.5" spans="3:13">
      <c r="C23" s="2" t="s">
        <v>5</v>
      </c>
      <c r="D23" s="2">
        <v>7.85</v>
      </c>
      <c r="E23" s="2" t="s">
        <v>6</v>
      </c>
      <c r="F23" s="8">
        <v>44888.4765625</v>
      </c>
      <c r="G23" s="14" t="str">
        <f xml:space="preserve">TEXT(F23,"MMMM")</f>
        <v>November</v>
      </c>
    </row>
    <row r="24" ht="18.5" spans="3:13">
      <c r="C24" s="2" t="s">
        <v>7</v>
      </c>
      <c r="D24" s="2">
        <v>3.25</v>
      </c>
      <c r="E24" s="2" t="s">
        <v>8</v>
      </c>
      <c r="F24" s="8">
        <v>45232.4876388889</v>
      </c>
      <c r="G24" s="14" t="str">
        <f t="shared" ref="G24:G31" si="1" xml:space="preserve">TEXT(F24,"MMMM")</f>
        <v>November</v>
      </c>
    </row>
    <row r="25" ht="18.75" customHeight="1" spans="3:13">
      <c r="C25" s="2" t="s">
        <v>9</v>
      </c>
      <c r="D25" s="2">
        <v>12.5</v>
      </c>
      <c r="E25" s="2" t="s">
        <v>10</v>
      </c>
      <c r="F25" s="8">
        <v>45253.4990277778</v>
      </c>
      <c r="G25" s="14" t="str">
        <f t="shared" si="1"/>
        <v>November</v>
      </c>
      <c r="I25" s="7" t="s">
        <v>19</v>
      </c>
      <c r="J25" s="7"/>
      <c r="K25" s="7"/>
      <c r="L25" s="7"/>
      <c r="M25" s="7"/>
    </row>
    <row r="26" ht="18.5" spans="3:13">
      <c r="C26" s="2" t="s">
        <v>12</v>
      </c>
      <c r="D26" s="2">
        <v>6.35</v>
      </c>
      <c r="E26" s="2" t="s">
        <v>13</v>
      </c>
      <c r="F26" s="8">
        <v>44852.5053819444</v>
      </c>
      <c r="G26" s="14" t="str">
        <f t="shared" si="1"/>
        <v>October</v>
      </c>
      <c r="I26" s="7"/>
      <c r="J26" s="7"/>
      <c r="K26" s="7"/>
      <c r="L26" s="7"/>
      <c r="M26" s="7"/>
    </row>
    <row r="27" ht="18.5" spans="3:13">
      <c r="C27" s="2" t="s">
        <v>14</v>
      </c>
      <c r="D27" s="2">
        <v>2.5</v>
      </c>
      <c r="E27" s="2" t="s">
        <v>15</v>
      </c>
      <c r="F27" s="8">
        <v>44888.520162037</v>
      </c>
      <c r="G27" s="14" t="str">
        <f t="shared" si="1"/>
        <v>November</v>
      </c>
    </row>
    <row r="28" ht="18.5" spans="3:13">
      <c r="C28" s="2" t="s">
        <v>16</v>
      </c>
      <c r="D28" s="2">
        <v>6.5</v>
      </c>
      <c r="E28" s="2" t="s">
        <v>17</v>
      </c>
      <c r="F28" s="8">
        <v>44923.5736921296</v>
      </c>
      <c r="G28" s="14" t="str">
        <f t="shared" si="1"/>
        <v>December</v>
      </c>
    </row>
    <row r="29" ht="18.5" spans="3:13">
      <c r="C29" s="2" t="s">
        <v>5</v>
      </c>
      <c r="D29" s="2">
        <v>8.75</v>
      </c>
      <c r="E29" s="2" t="s">
        <v>6</v>
      </c>
      <c r="F29" s="8">
        <v>44888.5938310185</v>
      </c>
      <c r="G29" s="14" t="str">
        <f t="shared" si="1"/>
        <v>November</v>
      </c>
    </row>
    <row r="30" ht="18.5" spans="3:13">
      <c r="C30" s="2" t="s">
        <v>12</v>
      </c>
      <c r="D30" s="2">
        <v>4.65</v>
      </c>
      <c r="E30" s="2" t="s">
        <v>13</v>
      </c>
      <c r="F30" s="8">
        <v>44888.6564236111</v>
      </c>
      <c r="G30" s="14" t="str">
        <f t="shared" si="1"/>
        <v>November</v>
      </c>
    </row>
    <row r="31" ht="18.5" spans="3:13">
      <c r="C31" s="2" t="s">
        <v>5</v>
      </c>
      <c r="D31" s="2">
        <v>12.85</v>
      </c>
      <c r="E31" s="2" t="s">
        <v>6</v>
      </c>
      <c r="F31" s="8">
        <v>44889.6753009259</v>
      </c>
      <c r="G31" s="14" t="str">
        <f t="shared" si="1"/>
        <v>November</v>
      </c>
    </row>
    <row r="37" ht="18.5" spans="3:13">
      <c r="C37" s="1" t="s">
        <v>0</v>
      </c>
      <c r="D37" s="1" t="s">
        <v>1</v>
      </c>
      <c r="E37" s="1" t="s">
        <v>2</v>
      </c>
      <c r="F37" s="1" t="s">
        <v>3</v>
      </c>
      <c r="G37" s="1" t="s">
        <v>20</v>
      </c>
    </row>
    <row r="38" ht="18.5" spans="3:13">
      <c r="C38" s="2" t="s">
        <v>5</v>
      </c>
      <c r="D38" s="2">
        <v>7.85</v>
      </c>
      <c r="E38" s="2" t="s">
        <v>6</v>
      </c>
      <c r="F38" s="8">
        <v>44888.4765625</v>
      </c>
      <c r="G38" s="15" t="str">
        <f xml:space="preserve">TEXT(F38,"AM/PM")</f>
        <v>AM</v>
      </c>
    </row>
    <row r="39" ht="18.5" spans="3:13">
      <c r="C39" s="2" t="s">
        <v>7</v>
      </c>
      <c r="D39" s="2">
        <v>3.25</v>
      </c>
      <c r="E39" s="2" t="s">
        <v>8</v>
      </c>
      <c r="F39" s="8">
        <v>45232.4876388889</v>
      </c>
      <c r="G39" s="15" t="str">
        <f t="shared" ref="G39:G46" si="2" xml:space="preserve">TEXT(F39,"AM/PM")</f>
        <v>AM</v>
      </c>
    </row>
    <row r="40" ht="18.75" customHeight="1" spans="3:13">
      <c r="C40" s="2" t="s">
        <v>9</v>
      </c>
      <c r="D40" s="2">
        <v>12.5</v>
      </c>
      <c r="E40" s="2" t="s">
        <v>10</v>
      </c>
      <c r="F40" s="8">
        <v>45253.4990277778</v>
      </c>
      <c r="G40" s="15" t="str">
        <f t="shared" si="2"/>
        <v>AM</v>
      </c>
      <c r="I40" s="7" t="s">
        <v>21</v>
      </c>
      <c r="J40" s="7"/>
      <c r="K40" s="7"/>
      <c r="L40" s="7"/>
      <c r="M40" s="7"/>
    </row>
    <row r="41" ht="18.5" spans="3:13">
      <c r="C41" s="2" t="s">
        <v>12</v>
      </c>
      <c r="D41" s="2">
        <v>6.35</v>
      </c>
      <c r="E41" s="2" t="s">
        <v>13</v>
      </c>
      <c r="F41" s="8">
        <v>44852.5053819444</v>
      </c>
      <c r="G41" s="15" t="str">
        <f t="shared" si="2"/>
        <v>PM</v>
      </c>
      <c r="I41" s="7"/>
      <c r="J41" s="7"/>
      <c r="K41" s="7"/>
      <c r="L41" s="7"/>
      <c r="M41" s="7"/>
    </row>
    <row r="42" ht="18.5" spans="3:13">
      <c r="C42" s="2" t="s">
        <v>14</v>
      </c>
      <c r="D42" s="2">
        <v>2.5</v>
      </c>
      <c r="E42" s="2" t="s">
        <v>15</v>
      </c>
      <c r="F42" s="8">
        <v>44888.520162037</v>
      </c>
      <c r="G42" s="15" t="str">
        <f t="shared" si="2"/>
        <v>PM</v>
      </c>
    </row>
    <row r="43" ht="18.5" spans="3:13">
      <c r="C43" s="2" t="s">
        <v>16</v>
      </c>
      <c r="D43" s="2">
        <v>6.5</v>
      </c>
      <c r="E43" s="2" t="s">
        <v>17</v>
      </c>
      <c r="F43" s="8">
        <v>44923.5736921296</v>
      </c>
      <c r="G43" s="15" t="str">
        <f t="shared" si="2"/>
        <v>PM</v>
      </c>
    </row>
    <row r="44" ht="18.5" spans="3:13">
      <c r="C44" s="2" t="s">
        <v>5</v>
      </c>
      <c r="D44" s="2">
        <v>8.75</v>
      </c>
      <c r="E44" s="2" t="s">
        <v>6</v>
      </c>
      <c r="F44" s="8">
        <v>44888.5938310185</v>
      </c>
      <c r="G44" s="15" t="str">
        <f t="shared" si="2"/>
        <v>PM</v>
      </c>
    </row>
    <row r="45" ht="18.5" spans="3:13">
      <c r="C45" s="2" t="s">
        <v>12</v>
      </c>
      <c r="D45" s="2">
        <v>4.65</v>
      </c>
      <c r="E45" s="2" t="s">
        <v>13</v>
      </c>
      <c r="F45" s="8">
        <v>44888.6564236111</v>
      </c>
      <c r="G45" s="15" t="str">
        <f t="shared" si="2"/>
        <v>PM</v>
      </c>
    </row>
    <row r="46" ht="18.5" spans="3:13">
      <c r="C46" s="2" t="s">
        <v>5</v>
      </c>
      <c r="D46" s="2">
        <v>12.85</v>
      </c>
      <c r="E46" s="2" t="s">
        <v>6</v>
      </c>
      <c r="F46" s="8">
        <v>44889.6753009259</v>
      </c>
      <c r="G46" s="15" t="str">
        <f t="shared" si="2"/>
        <v>PM</v>
      </c>
    </row>
    <row r="55" ht="18.5" spans="3:13">
      <c r="C55" s="1" t="s">
        <v>0</v>
      </c>
      <c r="D55" s="1" t="s">
        <v>1</v>
      </c>
      <c r="E55" s="1" t="s">
        <v>2</v>
      </c>
      <c r="F55" s="1" t="s">
        <v>3</v>
      </c>
      <c r="G55" s="1" t="s">
        <v>22</v>
      </c>
    </row>
    <row r="56" ht="18.5" spans="3:13">
      <c r="C56" s="2" t="s">
        <v>5</v>
      </c>
      <c r="D56" s="2">
        <v>7.85</v>
      </c>
      <c r="E56" s="2" t="s">
        <v>6</v>
      </c>
      <c r="F56" s="8">
        <v>44888.4765625</v>
      </c>
      <c r="G56" s="8" t="str">
        <f xml:space="preserve">TEXT(F56,"DD")</f>
        <v>23</v>
      </c>
    </row>
    <row r="57" ht="18.5" spans="3:13">
      <c r="C57" s="2" t="s">
        <v>7</v>
      </c>
      <c r="D57" s="2">
        <v>3.25</v>
      </c>
      <c r="E57" s="2" t="s">
        <v>8</v>
      </c>
      <c r="F57" s="8">
        <v>45232.4876388889</v>
      </c>
      <c r="G57" s="8" t="str">
        <f t="shared" ref="G57:G64" si="3" xml:space="preserve">TEXT(F57,"DD")</f>
        <v>02</v>
      </c>
    </row>
    <row r="58" ht="18.5" spans="3:13">
      <c r="C58" s="2" t="s">
        <v>9</v>
      </c>
      <c r="D58" s="2">
        <v>12.5</v>
      </c>
      <c r="E58" s="2" t="s">
        <v>10</v>
      </c>
      <c r="F58" s="8">
        <v>45253.4990277778</v>
      </c>
      <c r="G58" s="8" t="str">
        <f t="shared" si="3"/>
        <v>23</v>
      </c>
      <c r="I58" s="12" t="s">
        <v>23</v>
      </c>
      <c r="J58" s="12"/>
      <c r="K58" s="12"/>
      <c r="L58" s="12"/>
      <c r="M58" s="12"/>
    </row>
    <row r="59" ht="18.5" spans="3:13">
      <c r="C59" s="2" t="s">
        <v>12</v>
      </c>
      <c r="D59" s="2">
        <v>6.35</v>
      </c>
      <c r="E59" s="2" t="s">
        <v>13</v>
      </c>
      <c r="F59" s="8">
        <v>44852.5053819444</v>
      </c>
      <c r="G59" s="8" t="str">
        <f t="shared" si="3"/>
        <v>18</v>
      </c>
      <c r="I59" s="12"/>
      <c r="J59" s="12"/>
      <c r="K59" s="12"/>
      <c r="L59" s="12"/>
      <c r="M59" s="12"/>
    </row>
    <row r="60" ht="18.5" spans="3:13">
      <c r="C60" s="2" t="s">
        <v>14</v>
      </c>
      <c r="D60" s="2">
        <v>2.5</v>
      </c>
      <c r="E60" s="2" t="s">
        <v>15</v>
      </c>
      <c r="F60" s="8">
        <v>44888.520162037</v>
      </c>
      <c r="G60" s="8" t="str">
        <f t="shared" si="3"/>
        <v>23</v>
      </c>
    </row>
    <row r="61" ht="18.5" spans="3:13">
      <c r="C61" s="2" t="s">
        <v>16</v>
      </c>
      <c r="D61" s="2">
        <v>6.5</v>
      </c>
      <c r="E61" s="2" t="s">
        <v>17</v>
      </c>
      <c r="F61" s="8">
        <v>44923.5736921296</v>
      </c>
      <c r="G61" s="8" t="str">
        <f t="shared" si="3"/>
        <v>28</v>
      </c>
    </row>
    <row r="62" ht="18.5" spans="3:13">
      <c r="C62" s="2" t="s">
        <v>5</v>
      </c>
      <c r="D62" s="2">
        <v>8.75</v>
      </c>
      <c r="E62" s="2" t="s">
        <v>6</v>
      </c>
      <c r="F62" s="8">
        <v>44888.5938310185</v>
      </c>
      <c r="G62" s="8" t="str">
        <f t="shared" si="3"/>
        <v>23</v>
      </c>
    </row>
    <row r="63" ht="18.5" spans="3:13">
      <c r="C63" s="2" t="s">
        <v>12</v>
      </c>
      <c r="D63" s="2">
        <v>4.65</v>
      </c>
      <c r="E63" s="2" t="s">
        <v>13</v>
      </c>
      <c r="F63" s="8">
        <v>44888.6564236111</v>
      </c>
      <c r="G63" s="8" t="str">
        <f t="shared" si="3"/>
        <v>23</v>
      </c>
    </row>
    <row r="64" ht="18.5" spans="3:13">
      <c r="C64" s="2" t="s">
        <v>5</v>
      </c>
      <c r="D64" s="2">
        <v>12.85</v>
      </c>
      <c r="E64" s="2" t="s">
        <v>6</v>
      </c>
      <c r="F64" s="8">
        <v>44889.6753009259</v>
      </c>
      <c r="G64" s="8" t="str">
        <f t="shared" si="3"/>
        <v>24</v>
      </c>
    </row>
    <row r="73" ht="18.5" spans="3:13">
      <c r="C73" s="1" t="s">
        <v>0</v>
      </c>
      <c r="D73" s="1" t="s">
        <v>1</v>
      </c>
      <c r="E73" s="1" t="s">
        <v>2</v>
      </c>
      <c r="F73" s="1" t="s">
        <v>3</v>
      </c>
      <c r="G73" s="1" t="s">
        <v>24</v>
      </c>
    </row>
    <row r="74" ht="18.5" spans="3:13">
      <c r="C74" s="2" t="s">
        <v>5</v>
      </c>
      <c r="D74" s="2">
        <v>7.85</v>
      </c>
      <c r="E74" s="2" t="s">
        <v>6</v>
      </c>
      <c r="F74" s="8">
        <v>44888.4765625</v>
      </c>
      <c r="G74" s="8" t="str">
        <f xml:space="preserve">TEXT(F74,"D-MM-YY")</f>
        <v>23-11-22</v>
      </c>
    </row>
    <row r="75" ht="18.5" spans="3:13">
      <c r="C75" s="2" t="s">
        <v>7</v>
      </c>
      <c r="D75" s="2">
        <v>3.25</v>
      </c>
      <c r="E75" s="2" t="s">
        <v>8</v>
      </c>
      <c r="F75" s="8">
        <v>45232.4876388889</v>
      </c>
      <c r="G75" s="8" t="str">
        <f t="shared" ref="G75:G82" si="4" xml:space="preserve">TEXT(F75,"D-MM-YY")</f>
        <v>2-11-23</v>
      </c>
    </row>
    <row r="76" ht="18.5" spans="3:13">
      <c r="C76" s="2" t="s">
        <v>9</v>
      </c>
      <c r="D76" s="2">
        <v>12.5</v>
      </c>
      <c r="E76" s="2" t="s">
        <v>10</v>
      </c>
      <c r="F76" s="8">
        <v>45253.4990277778</v>
      </c>
      <c r="G76" s="8" t="str">
        <f t="shared" si="4"/>
        <v>23-11-23</v>
      </c>
      <c r="I76" s="12" t="s">
        <v>25</v>
      </c>
      <c r="J76" s="12"/>
      <c r="K76" s="12"/>
      <c r="L76" s="12"/>
      <c r="M76" s="12"/>
    </row>
    <row r="77" ht="18.5" spans="3:13">
      <c r="C77" s="2" t="s">
        <v>12</v>
      </c>
      <c r="D77" s="2">
        <v>6.35</v>
      </c>
      <c r="E77" s="2" t="s">
        <v>13</v>
      </c>
      <c r="F77" s="8">
        <v>44852.5053819444</v>
      </c>
      <c r="G77" s="8" t="str">
        <f t="shared" si="4"/>
        <v>18-10-22</v>
      </c>
      <c r="I77" s="12"/>
      <c r="J77" s="12"/>
      <c r="K77" s="12"/>
      <c r="L77" s="12"/>
      <c r="M77" s="12"/>
    </row>
    <row r="78" ht="18.5" spans="3:13">
      <c r="C78" s="2" t="s">
        <v>14</v>
      </c>
      <c r="D78" s="2">
        <v>2.5</v>
      </c>
      <c r="E78" s="2" t="s">
        <v>15</v>
      </c>
      <c r="F78" s="8">
        <v>44888.520162037</v>
      </c>
      <c r="G78" s="8" t="str">
        <f t="shared" si="4"/>
        <v>23-11-22</v>
      </c>
    </row>
    <row r="79" ht="18.5" spans="3:13">
      <c r="C79" s="2" t="s">
        <v>16</v>
      </c>
      <c r="D79" s="2">
        <v>6.5</v>
      </c>
      <c r="E79" s="2" t="s">
        <v>17</v>
      </c>
      <c r="F79" s="8">
        <v>44923.5736921296</v>
      </c>
      <c r="G79" s="8" t="str">
        <f t="shared" si="4"/>
        <v>28-12-22</v>
      </c>
    </row>
    <row r="80" ht="18.5" spans="3:13">
      <c r="C80" s="2" t="s">
        <v>5</v>
      </c>
      <c r="D80" s="2">
        <v>8.75</v>
      </c>
      <c r="E80" s="2" t="s">
        <v>6</v>
      </c>
      <c r="F80" s="8">
        <v>44888.5938310185</v>
      </c>
      <c r="G80" s="8" t="str">
        <f t="shared" si="4"/>
        <v>23-11-22</v>
      </c>
    </row>
    <row r="81" ht="18.5" spans="3:7">
      <c r="C81" s="2" t="s">
        <v>12</v>
      </c>
      <c r="D81" s="2">
        <v>4.65</v>
      </c>
      <c r="E81" s="2" t="s">
        <v>13</v>
      </c>
      <c r="F81" s="8">
        <v>44888.6564236111</v>
      </c>
      <c r="G81" s="8" t="str">
        <f t="shared" si="4"/>
        <v>23-11-22</v>
      </c>
    </row>
    <row r="82" ht="18.5" spans="3:7">
      <c r="C82" s="2" t="s">
        <v>5</v>
      </c>
      <c r="D82" s="2">
        <v>12.85</v>
      </c>
      <c r="E82" s="2" t="s">
        <v>6</v>
      </c>
      <c r="F82" s="8">
        <v>44889.6753009259</v>
      </c>
      <c r="G82" s="8" t="str">
        <f t="shared" si="4"/>
        <v>24-11-22</v>
      </c>
    </row>
  </sheetData>
  <customSheetViews>
    <customSheetView guid="{DFB07116-697D-42FF-ACBD-E8FE92938B16}" scale="120" showGridLines="0">
      <selection activeCell="C5" sqref="C5"/>
      <pageMargins left="0.7" right="0.7" top="0.75" bottom="0.75" header="0.3" footer="0.3"/>
      <pageSetup paperSize="1" orientation="portrait"/>
      <headerFooter/>
    </customSheetView>
    <customSheetView guid="{AD9596A8-734D-48AD-8922-A58933E39AB8}" scale="120" showGridLines="0">
      <selection activeCell="C5" sqref="C5"/>
      <pageMargins left="0.7" right="0.7" top="0.75" bottom="0.75" header="0.3" footer="0.3"/>
      <pageSetup paperSize="1" orientation="portrait"/>
      <headerFooter/>
    </customSheetView>
    <customSheetView guid="{A979108F-FF23-4967-8663-1A0C9618D854}" scale="120" showGridLines="0">
      <selection activeCell="C5" sqref="C5"/>
      <pageMargins left="0.7" right="0.7" top="0.75" bottom="0.75" header="0.3" footer="0.3"/>
      <pageSetup paperSize="1" orientation="portrait"/>
      <headerFooter/>
    </customSheetView>
    <customSheetView guid="{E065FC95-9F37-4AD0-A6AF-202A080459EB}" scale="120" showGridLines="0">
      <selection activeCell="C5" sqref="C5"/>
      <pageMargins left="0.7" right="0.7" top="0.75" bottom="0.75" header="0.3" footer="0.3"/>
      <pageSetup paperSize="1" orientation="portrait"/>
      <headerFooter/>
    </customSheetView>
    <customSheetView guid="{57F7A421-8FD3-4470-813D-526D207C0AED}" scale="120" showGridLines="0">
      <selection activeCell="C5" sqref="C5"/>
      <pageMargins left="0.7" right="0.7" top="0.75" bottom="0.75" header="0.3" footer="0.3"/>
      <pageSetup paperSize="1" orientation="portrait"/>
      <headerFooter/>
    </customSheetView>
    <customSheetView guid="{31F90F3E-FB31-437F-ADCE-44D58804C41D}" scale="120" showGridLines="0">
      <selection activeCell="C5" sqref="C5"/>
      <pageMargins left="0.7" right="0.7" top="0.75" bottom="0.75" header="0.3" footer="0.3"/>
      <pageSetup paperSize="1" orientation="portrait"/>
      <headerFooter/>
    </customSheetView>
    <customSheetView guid="{AC1AC0BB-7D81-4427-80BF-DB36D3CC12C1}" scale="120" showGridLines="0">
      <selection activeCell="F5" sqref="F5"/>
      <pageMargins left="0.7" right="0.7" top="0.75" bottom="0.75" header="0.3" footer="0.3"/>
      <pageSetup paperSize="1" orientation="portrait"/>
      <headerFooter/>
    </customSheetView>
    <customSheetView guid="{06F040C9-291C-44DD-A11A-B2BAF2078CA1}" scale="120" showGridLines="0" topLeftCell="A16">
      <selection activeCell="F20" sqref="F20"/>
      <pageMargins left="0.7" right="0.7" top="0.75" bottom="0.75" header="0.3" footer="0.3"/>
      <pageSetup paperSize="1" orientation="portrait"/>
      <headerFooter/>
    </customSheetView>
    <customSheetView guid="{8DC39A41-9961-4A5C-8659-B8A82A01A470}" scale="120" showGridLines="0" topLeftCell="A30">
      <selection activeCell="F35" sqref="F35"/>
      <pageMargins left="0.7" right="0.7" top="0.75" bottom="0.75" header="0.3" footer="0.3"/>
      <pageSetup paperSize="1" orientation="portrait"/>
      <headerFooter/>
    </customSheetView>
    <customSheetView guid="{9967D63C-4135-4BF7-A83B-0EC0A28A8504}" scale="120" showGridLines="0" topLeftCell="A30">
      <selection activeCell="F35" sqref="F35"/>
      <pageMargins left="0.7" right="0.7" top="0.75" bottom="0.75" header="0.3" footer="0.3"/>
      <pageSetup paperSize="1" orientation="portrait"/>
      <headerFooter/>
    </customSheetView>
    <customSheetView guid="{28C5C254-2672-4A7F-9398-2FA6F99EE3FF}" scale="120" showGridLines="0" topLeftCell="A30">
      <selection activeCell="F35" sqref="F35"/>
      <pageMargins left="0.7" right="0.7" top="0.75" bottom="0.75" header="0.3" footer="0.3"/>
      <pageSetup paperSize="1" orientation="portrait"/>
      <headerFooter/>
    </customSheetView>
    <customSheetView guid="{AE37E6D9-7485-4A75-9115-FDBD1A6E08D0}" scale="120" showGridLines="0" topLeftCell="A30">
      <selection activeCell="F35" sqref="F35"/>
      <pageMargins left="0.7" right="0.7" top="0.75" bottom="0.75" header="0.3" footer="0.3"/>
      <pageSetup paperSize="1" orientation="portrait"/>
      <headerFooter/>
    </customSheetView>
    <customSheetView guid="{73745901-4C3A-49DD-83C4-0AEBB167DB63}" scale="120" showGridLines="0" topLeftCell="A30">
      <selection activeCell="F35" sqref="F35"/>
      <pageMargins left="0.7" right="0.7" top="0.75" bottom="0.75" header="0.3" footer="0.3"/>
      <pageSetup paperSize="1" orientation="portrait"/>
      <headerFooter/>
    </customSheetView>
    <customSheetView guid="{5B82F60B-B869-45D3-9A7D-2B843E789197}" scale="120" showGridLines="0" topLeftCell="A30">
      <selection activeCell="F35" sqref="F35"/>
      <pageMargins left="0.7" right="0.7" top="0.75" bottom="0.75" header="0.3" footer="0.3"/>
      <pageSetup paperSize="1" orientation="portrait"/>
      <headerFooter/>
    </customSheetView>
    <customSheetView guid="{4725FB26-BADE-478E-8CB6-C0172942A9EE}" scale="120" showGridLines="0" topLeftCell="A30">
      <selection activeCell="F35" sqref="F35"/>
      <pageMargins left="0.7" right="0.7" top="0.75" bottom="0.75" header="0.3" footer="0.3"/>
      <pageSetup paperSize="1" orientation="portrait"/>
      <headerFooter/>
    </customSheetView>
  </customSheetViews>
  <mergeCells count="5">
    <mergeCell ref="I7:M8"/>
    <mergeCell ref="I25:M26"/>
    <mergeCell ref="I40:M41"/>
    <mergeCell ref="I58:M59"/>
    <mergeCell ref="I76:M77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C4:L52"/>
  <sheetViews>
    <sheetView showGridLines="0" tabSelected="1" zoomScale="90" zoomScaleNormal="90" topLeftCell="A39" workbookViewId="0">
      <selection activeCell="F45" sqref="F45"/>
    </sheetView>
  </sheetViews>
  <sheetFormatPr defaultColWidth="8.83636363636364" defaultRowHeight="14.5"/>
  <cols>
    <col min="3" max="3" width="13.5" customWidth="1"/>
    <col min="4" max="4" width="12.5" customWidth="1"/>
    <col min="5" max="5" width="20.3363636363636" customWidth="1"/>
    <col min="6" max="6" width="26.3363636363636" customWidth="1"/>
    <col min="7" max="7" width="20.3" customWidth="1"/>
  </cols>
  <sheetData>
    <row r="4" ht="18.5" spans="3:12">
      <c r="C4" s="1" t="s">
        <v>26</v>
      </c>
      <c r="D4" s="1" t="s">
        <v>27</v>
      </c>
      <c r="E4" s="1" t="s">
        <v>28</v>
      </c>
      <c r="F4" s="1" t="s">
        <v>29</v>
      </c>
    </row>
    <row r="5" ht="18.5" spans="3:12">
      <c r="C5" s="2" t="s">
        <v>30</v>
      </c>
      <c r="D5" s="2" t="s">
        <v>31</v>
      </c>
      <c r="E5" s="2" t="s">
        <v>32</v>
      </c>
      <c r="F5" s="2" t="str">
        <f xml:space="preserve">IF(D5="S","XS",D5)</f>
        <v>XS</v>
      </c>
      <c r="G5" s="6"/>
    </row>
    <row r="6" ht="18.5" spans="3:12">
      <c r="C6" s="2" t="s">
        <v>33</v>
      </c>
      <c r="D6" s="2" t="s">
        <v>31</v>
      </c>
      <c r="E6" s="2" t="s">
        <v>34</v>
      </c>
      <c r="F6" s="2" t="str">
        <f t="shared" ref="F6:F13" si="0" xml:space="preserve">IF(D6="S","XS",D6)</f>
        <v>XS</v>
      </c>
      <c r="G6" s="6"/>
    </row>
    <row r="7" ht="18.75" customHeight="1" spans="3:12">
      <c r="C7" s="2" t="s">
        <v>30</v>
      </c>
      <c r="D7" s="2" t="s">
        <v>35</v>
      </c>
      <c r="E7" s="2" t="s">
        <v>36</v>
      </c>
      <c r="F7" s="2" t="str">
        <f t="shared" si="0"/>
        <v>M</v>
      </c>
      <c r="G7" s="6"/>
      <c r="H7" s="7" t="s">
        <v>37</v>
      </c>
      <c r="I7" s="7"/>
      <c r="J7" s="7"/>
      <c r="K7" s="7"/>
      <c r="L7" s="7"/>
    </row>
    <row r="8" ht="18.5" spans="3:12">
      <c r="C8" s="2" t="s">
        <v>33</v>
      </c>
      <c r="D8" s="2" t="s">
        <v>35</v>
      </c>
      <c r="E8" s="2" t="s">
        <v>38</v>
      </c>
      <c r="F8" s="2" t="str">
        <f t="shared" si="0"/>
        <v>M</v>
      </c>
      <c r="G8" s="6"/>
      <c r="H8" s="7"/>
      <c r="I8" s="7"/>
      <c r="J8" s="7"/>
      <c r="K8" s="7"/>
      <c r="L8" s="7"/>
    </row>
    <row r="9" ht="18.5" spans="3:12">
      <c r="C9" s="2" t="s">
        <v>30</v>
      </c>
      <c r="D9" s="2" t="s">
        <v>39</v>
      </c>
      <c r="E9" s="2" t="s">
        <v>40</v>
      </c>
      <c r="F9" s="2" t="str">
        <f t="shared" si="0"/>
        <v>L</v>
      </c>
      <c r="G9" s="6"/>
    </row>
    <row r="10" ht="18.5" spans="3:12">
      <c r="C10" s="2" t="s">
        <v>33</v>
      </c>
      <c r="D10" s="2" t="s">
        <v>39</v>
      </c>
      <c r="E10" s="2" t="s">
        <v>41</v>
      </c>
      <c r="F10" s="2" t="str">
        <f t="shared" si="0"/>
        <v>L</v>
      </c>
      <c r="G10" s="6"/>
    </row>
    <row r="11" ht="18.5" spans="3:12">
      <c r="C11" s="2" t="s">
        <v>30</v>
      </c>
      <c r="D11" s="2" t="s">
        <v>31</v>
      </c>
      <c r="E11" s="2" t="s">
        <v>42</v>
      </c>
      <c r="F11" s="2" t="str">
        <f t="shared" si="0"/>
        <v>XS</v>
      </c>
      <c r="G11" s="6"/>
    </row>
    <row r="12" ht="18.5" spans="3:12">
      <c r="C12" s="2" t="s">
        <v>33</v>
      </c>
      <c r="D12" s="2" t="s">
        <v>35</v>
      </c>
      <c r="E12" s="2" t="s">
        <v>43</v>
      </c>
      <c r="F12" s="2" t="str">
        <f t="shared" si="0"/>
        <v>M</v>
      </c>
      <c r="G12" s="6"/>
    </row>
    <row r="13" ht="18.5" spans="3:12">
      <c r="C13" s="2" t="s">
        <v>33</v>
      </c>
      <c r="D13" s="2" t="s">
        <v>39</v>
      </c>
      <c r="E13" s="2" t="s">
        <v>44</v>
      </c>
      <c r="F13" s="2" t="str">
        <f t="shared" si="0"/>
        <v>L</v>
      </c>
      <c r="G13" s="6"/>
    </row>
    <row r="19" ht="18.5" spans="3:12">
      <c r="C19" s="1" t="s">
        <v>0</v>
      </c>
      <c r="D19" s="1" t="s">
        <v>1</v>
      </c>
      <c r="E19" s="1" t="s">
        <v>2</v>
      </c>
      <c r="F19" s="1" t="s">
        <v>45</v>
      </c>
    </row>
    <row r="20" ht="18.5" spans="3:12">
      <c r="C20" s="2" t="s">
        <v>5</v>
      </c>
      <c r="D20" s="2">
        <v>7.85</v>
      </c>
      <c r="E20" s="2" t="s">
        <v>6</v>
      </c>
      <c r="F20" s="8" t="str">
        <f xml:space="preserve">REPLACE(E20,3,1,"A")</f>
        <v>AmAzon</v>
      </c>
    </row>
    <row r="21" ht="18.5" spans="3:12">
      <c r="C21" s="2" t="s">
        <v>7</v>
      </c>
      <c r="D21" s="2">
        <v>3.25</v>
      </c>
      <c r="E21" s="2" t="s">
        <v>8</v>
      </c>
      <c r="F21" s="8" t="str">
        <f t="shared" ref="F21:F28" si="1" xml:space="preserve">REPLACE(E21,3,1,"A")</f>
        <v>BiABasket</v>
      </c>
    </row>
    <row r="22" ht="18.75" customHeight="1" spans="3:12">
      <c r="C22" s="2" t="s">
        <v>9</v>
      </c>
      <c r="D22" s="2">
        <v>12.5</v>
      </c>
      <c r="E22" s="2" t="s">
        <v>10</v>
      </c>
      <c r="F22" s="8" t="str">
        <f t="shared" si="1"/>
        <v>WaAmart</v>
      </c>
      <c r="H22" s="7" t="s">
        <v>46</v>
      </c>
      <c r="I22" s="7"/>
      <c r="J22" s="7"/>
      <c r="K22" s="7"/>
      <c r="L22" s="7"/>
    </row>
    <row r="23" ht="18.5" spans="3:12">
      <c r="C23" s="2" t="s">
        <v>12</v>
      </c>
      <c r="D23" s="2">
        <v>6.35</v>
      </c>
      <c r="E23" s="2" t="s">
        <v>13</v>
      </c>
      <c r="F23" s="8" t="str">
        <f t="shared" si="1"/>
        <v>LyAt</v>
      </c>
      <c r="H23" s="7"/>
      <c r="I23" s="7"/>
      <c r="J23" s="7"/>
      <c r="K23" s="7"/>
      <c r="L23" s="7"/>
    </row>
    <row r="24" ht="18.5" spans="3:12">
      <c r="C24" s="2" t="s">
        <v>14</v>
      </c>
      <c r="D24" s="2">
        <v>2.5</v>
      </c>
      <c r="E24" s="2" t="s">
        <v>15</v>
      </c>
      <c r="F24" s="8" t="str">
        <f t="shared" si="1"/>
        <v>DoArDash</v>
      </c>
    </row>
    <row r="25" ht="18.5" spans="3:12">
      <c r="C25" s="2" t="s">
        <v>16</v>
      </c>
      <c r="D25" s="2">
        <v>6.5</v>
      </c>
      <c r="E25" s="2" t="s">
        <v>17</v>
      </c>
      <c r="F25" s="8" t="str">
        <f t="shared" si="1"/>
        <v>GoAgle</v>
      </c>
    </row>
    <row r="26" ht="18.5" spans="3:12">
      <c r="C26" s="2" t="s">
        <v>5</v>
      </c>
      <c r="D26" s="2">
        <v>8.75</v>
      </c>
      <c r="E26" s="2" t="s">
        <v>6</v>
      </c>
      <c r="F26" s="8" t="str">
        <f t="shared" si="1"/>
        <v>AmAzon</v>
      </c>
    </row>
    <row r="27" ht="18.5" spans="3:12">
      <c r="C27" s="2" t="s">
        <v>12</v>
      </c>
      <c r="D27" s="2">
        <v>4.65</v>
      </c>
      <c r="E27" s="2" t="s">
        <v>13</v>
      </c>
      <c r="F27" s="8" t="str">
        <f t="shared" si="1"/>
        <v>LyAt</v>
      </c>
    </row>
    <row r="28" ht="18.5" spans="3:12">
      <c r="C28" s="2" t="s">
        <v>5</v>
      </c>
      <c r="D28" s="2">
        <v>12.85</v>
      </c>
      <c r="E28" s="2" t="s">
        <v>6</v>
      </c>
      <c r="F28" s="8" t="str">
        <f t="shared" si="1"/>
        <v>AmAzon</v>
      </c>
    </row>
    <row r="43" ht="18.5" spans="3:12">
      <c r="C43" s="1" t="s">
        <v>26</v>
      </c>
      <c r="D43" s="1" t="s">
        <v>27</v>
      </c>
      <c r="E43" s="1" t="s">
        <v>28</v>
      </c>
      <c r="F43" s="1" t="s">
        <v>47</v>
      </c>
    </row>
    <row r="44" ht="18.5" spans="3:12">
      <c r="C44" s="2" t="s">
        <v>30</v>
      </c>
      <c r="D44" s="2" t="s">
        <v>31</v>
      </c>
      <c r="E44" s="2" t="s">
        <v>48</v>
      </c>
      <c r="F44" s="2" t="str" cm="1">
        <f t="array" ref="F44" xml:space="preserve">_xlfn.SWITCH(D44,"S","XS","M","S","L","M")</f>
        <v>XS</v>
      </c>
    </row>
    <row r="45" ht="18.5" spans="3:12">
      <c r="C45" s="2" t="s">
        <v>33</v>
      </c>
      <c r="D45" s="2" t="s">
        <v>31</v>
      </c>
      <c r="E45" s="2" t="s">
        <v>49</v>
      </c>
      <c r="F45" s="2" t="str" cm="1">
        <f t="array" ref="F45" xml:space="preserve">_xlfn.SWITCH(D45,"S","XS","M","S","L","M")</f>
        <v>XS</v>
      </c>
    </row>
    <row r="46" ht="18.75" customHeight="1" spans="3:12">
      <c r="C46" s="2" t="s">
        <v>30</v>
      </c>
      <c r="D46" s="2" t="s">
        <v>35</v>
      </c>
      <c r="E46" s="2" t="s">
        <v>50</v>
      </c>
      <c r="F46" s="2" t="str" cm="1">
        <f t="array" ref="F46" xml:space="preserve">_xlfn.SWITCH(D46,"S","XS","M","S","L","M")</f>
        <v>S</v>
      </c>
      <c r="H46" s="7" t="s">
        <v>51</v>
      </c>
      <c r="I46" s="7"/>
      <c r="J46" s="7"/>
      <c r="K46" s="7"/>
      <c r="L46" s="7"/>
    </row>
    <row r="47" ht="18.5" spans="3:12">
      <c r="C47" s="2" t="s">
        <v>33</v>
      </c>
      <c r="D47" s="2" t="s">
        <v>35</v>
      </c>
      <c r="E47" s="2" t="s">
        <v>38</v>
      </c>
      <c r="F47" s="2" t="str" cm="1">
        <f t="array" ref="F47" xml:space="preserve">_xlfn.SWITCH(D47,"S","XS","M","S","L","M")</f>
        <v>S</v>
      </c>
      <c r="H47" s="7"/>
      <c r="I47" s="7"/>
      <c r="J47" s="7"/>
      <c r="K47" s="7"/>
      <c r="L47" s="7"/>
    </row>
    <row r="48" ht="18.5" spans="3:12">
      <c r="C48" s="2" t="s">
        <v>30</v>
      </c>
      <c r="D48" s="2" t="s">
        <v>39</v>
      </c>
      <c r="E48" s="2" t="s">
        <v>52</v>
      </c>
      <c r="F48" s="2" t="str" cm="1">
        <f t="array" ref="F48" xml:space="preserve">_xlfn.SWITCH(D48,"S","XS","M","S","L","M")</f>
        <v>M</v>
      </c>
      <c r="H48" s="9" t="s">
        <v>53</v>
      </c>
      <c r="I48" s="9" t="s">
        <v>47</v>
      </c>
    </row>
    <row r="49" ht="18.5" spans="3:9">
      <c r="C49" s="2" t="s">
        <v>33</v>
      </c>
      <c r="D49" s="2" t="s">
        <v>39</v>
      </c>
      <c r="E49" s="2" t="s">
        <v>54</v>
      </c>
      <c r="F49" s="2" t="str" cm="1">
        <f t="array" ref="F49" xml:space="preserve">_xlfn.SWITCH(D49,"S","XS","M","S","L","M")</f>
        <v>M</v>
      </c>
      <c r="H49" s="10" t="s">
        <v>31</v>
      </c>
      <c r="I49" s="10" t="s">
        <v>55</v>
      </c>
    </row>
    <row r="50" ht="18.5" spans="3:9">
      <c r="C50" s="2" t="s">
        <v>30</v>
      </c>
      <c r="D50" s="2" t="s">
        <v>31</v>
      </c>
      <c r="E50" s="2" t="s">
        <v>56</v>
      </c>
      <c r="F50" s="2" t="str" cm="1">
        <f t="array" ref="F50" xml:space="preserve">_xlfn.SWITCH(D50,"S","XS","M","S","L","M")</f>
        <v>XS</v>
      </c>
      <c r="H50" s="10" t="s">
        <v>35</v>
      </c>
      <c r="I50" s="10" t="s">
        <v>31</v>
      </c>
    </row>
    <row r="51" ht="18.5" spans="3:9">
      <c r="C51" s="2" t="s">
        <v>33</v>
      </c>
      <c r="D51" s="2" t="s">
        <v>35</v>
      </c>
      <c r="E51" s="2" t="s">
        <v>57</v>
      </c>
      <c r="F51" s="2" t="str" cm="1">
        <f t="array" ref="F51" xml:space="preserve">_xlfn.SWITCH(D51,"S","XS","M","S","L","M")</f>
        <v>S</v>
      </c>
      <c r="H51" s="11" t="s">
        <v>39</v>
      </c>
      <c r="I51" s="11" t="s">
        <v>35</v>
      </c>
    </row>
    <row r="52" ht="18.5" spans="3:9">
      <c r="C52" s="2" t="s">
        <v>33</v>
      </c>
      <c r="D52" s="2" t="s">
        <v>39</v>
      </c>
      <c r="E52" s="2" t="s">
        <v>58</v>
      </c>
      <c r="F52" s="2" t="str" cm="1">
        <f t="array" ref="F52" xml:space="preserve">_xlfn.SWITCH(D52,"S","XS","M","S","L","M")</f>
        <v>M</v>
      </c>
    </row>
  </sheetData>
  <customSheetViews>
    <customSheetView guid="{DFB07116-697D-42FF-ACBD-E8FE92938B16}" scale="120" showGridLines="0">
      <selection activeCell="B18" sqref="B18"/>
      <pageMargins left="0.7" right="0.7" top="0.75" bottom="0.75" header="0.3" footer="0.3"/>
      <pageSetup paperSize="1" orientation="portrait"/>
      <headerFooter/>
    </customSheetView>
    <customSheetView guid="{AD9596A8-734D-48AD-8922-A58933E39AB8}" scale="120" showGridLines="0">
      <selection activeCell="B18" sqref="B18"/>
      <pageMargins left="0.7" right="0.7" top="0.75" bottom="0.75" header="0.3" footer="0.3"/>
      <pageSetup paperSize="1" orientation="portrait"/>
      <headerFooter/>
    </customSheetView>
    <customSheetView guid="{A979108F-FF23-4967-8663-1A0C9618D854}" scale="120" showGridLines="0">
      <selection activeCell="B18" sqref="B18"/>
      <pageMargins left="0.7" right="0.7" top="0.75" bottom="0.75" header="0.3" footer="0.3"/>
      <pageSetup paperSize="1" orientation="portrait"/>
      <headerFooter/>
    </customSheetView>
    <customSheetView guid="{E065FC95-9F37-4AD0-A6AF-202A080459EB}" scale="120" showGridLines="0">
      <selection activeCell="F5" sqref="F5"/>
      <pageMargins left="0.7" right="0.7" top="0.75" bottom="0.75" header="0.3" footer="0.3"/>
      <pageSetup paperSize="1" orientation="portrait"/>
      <headerFooter/>
    </customSheetView>
    <customSheetView guid="{57F7A421-8FD3-4470-813D-526D207C0AED}" scale="120" showGridLines="0" topLeftCell="A16">
      <selection activeCell="F20" sqref="F20"/>
      <pageMargins left="0.7" right="0.7" top="0.75" bottom="0.75" header="0.3" footer="0.3"/>
      <pageSetup paperSize="1" orientation="portrait"/>
      <headerFooter/>
    </customSheetView>
    <customSheetView guid="{31F90F3E-FB31-437F-ADCE-44D58804C41D}" scale="120" showGridLines="0" topLeftCell="A31">
      <selection activeCell="F35" sqref="F35"/>
      <pageMargins left="0.7" right="0.7" top="0.75" bottom="0.75" header="0.3" footer="0.3"/>
      <pageSetup paperSize="1" orientation="portrait"/>
      <headerFooter/>
    </customSheetView>
    <customSheetView guid="{AC1AC0BB-7D81-4427-80BF-DB36D3CC12C1}" scale="120" showGridLines="0" topLeftCell="A31">
      <selection activeCell="F35" sqref="F35"/>
      <pageMargins left="0.7" right="0.7" top="0.75" bottom="0.75" header="0.3" footer="0.3"/>
      <pageSetup paperSize="1" orientation="portrait"/>
      <headerFooter/>
    </customSheetView>
    <customSheetView guid="{06F040C9-291C-44DD-A11A-B2BAF2078CA1}" scale="120" showGridLines="0" topLeftCell="A31">
      <selection activeCell="F35" sqref="F35"/>
      <pageMargins left="0.7" right="0.7" top="0.75" bottom="0.75" header="0.3" footer="0.3"/>
      <pageSetup paperSize="1" orientation="portrait"/>
      <headerFooter/>
    </customSheetView>
    <customSheetView guid="{8DC39A41-9961-4A5C-8659-B8A82A01A470}" scale="120" showGridLines="0" topLeftCell="A31">
      <selection activeCell="F35" sqref="F35"/>
      <pageMargins left="0.7" right="0.7" top="0.75" bottom="0.75" header="0.3" footer="0.3"/>
      <pageSetup paperSize="1" orientation="portrait"/>
      <headerFooter/>
    </customSheetView>
    <customSheetView guid="{9967D63C-4135-4BF7-A83B-0EC0A28A8504}" scale="120" showGridLines="0" topLeftCell="A31">
      <selection activeCell="F35" sqref="F35"/>
      <pageMargins left="0.7" right="0.7" top="0.75" bottom="0.75" header="0.3" footer="0.3"/>
      <pageSetup paperSize="1" orientation="portrait"/>
      <headerFooter/>
    </customSheetView>
    <customSheetView guid="{28C5C254-2672-4A7F-9398-2FA6F99EE3FF}" scale="120" showGridLines="0" topLeftCell="A31">
      <selection activeCell="F35" sqref="F35"/>
      <pageMargins left="0.7" right="0.7" top="0.75" bottom="0.75" header="0.3" footer="0.3"/>
      <pageSetup paperSize="1" orientation="portrait"/>
      <headerFooter/>
    </customSheetView>
    <customSheetView guid="{AE37E6D9-7485-4A75-9115-FDBD1A6E08D0}" scale="120" showGridLines="0" topLeftCell="A31">
      <selection activeCell="F35" sqref="F35"/>
      <pageMargins left="0.7" right="0.7" top="0.75" bottom="0.75" header="0.3" footer="0.3"/>
      <pageSetup paperSize="1" orientation="portrait"/>
      <headerFooter/>
    </customSheetView>
    <customSheetView guid="{73745901-4C3A-49DD-83C4-0AEBB167DB63}" scale="120" showGridLines="0" topLeftCell="A31">
      <selection activeCell="F35" sqref="F35"/>
      <pageMargins left="0.7" right="0.7" top="0.75" bottom="0.75" header="0.3" footer="0.3"/>
      <pageSetup paperSize="1" orientation="portrait"/>
      <headerFooter/>
    </customSheetView>
    <customSheetView guid="{5B82F60B-B869-45D3-9A7D-2B843E789197}" scale="120" showGridLines="0" topLeftCell="A31">
      <selection activeCell="F35" sqref="F35"/>
      <pageMargins left="0.7" right="0.7" top="0.75" bottom="0.75" header="0.3" footer="0.3"/>
      <pageSetup paperSize="1" orientation="portrait"/>
      <headerFooter/>
    </customSheetView>
    <customSheetView guid="{4725FB26-BADE-478E-8CB6-C0172942A9EE}" scale="120" showGridLines="0" topLeftCell="A31">
      <selection activeCell="F35" sqref="F35"/>
      <pageMargins left="0.7" right="0.7" top="0.75" bottom="0.75" header="0.3" footer="0.3"/>
      <pageSetup paperSize="1" orientation="portrait"/>
      <headerFooter/>
    </customSheetView>
  </customSheetViews>
  <mergeCells count="3">
    <mergeCell ref="H7:L8"/>
    <mergeCell ref="H22:L23"/>
    <mergeCell ref="H46:L47"/>
  </mergeCell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J18"/>
  <sheetViews>
    <sheetView showGridLines="0" zoomScale="120" zoomScaleNormal="120" topLeftCell="C1" workbookViewId="0">
      <selection activeCell="I2" sqref="I2"/>
    </sheetView>
  </sheetViews>
  <sheetFormatPr defaultColWidth="8.83636363636364" defaultRowHeight="14.5"/>
  <cols>
    <col min="4" max="4" width="10.5" customWidth="1"/>
    <col min="5" max="5" width="13.5" customWidth="1"/>
    <col min="6" max="6" width="12.5" customWidth="1"/>
    <col min="7" max="7" width="17.5" customWidth="1"/>
    <col min="8" max="8" width="37.8363636363636" customWidth="1"/>
    <col min="9" max="9" width="42.1636363636364" customWidth="1"/>
  </cols>
  <sheetData>
    <row r="4" ht="18.5" spans="4:10">
      <c r="D4" s="1" t="s">
        <v>59</v>
      </c>
      <c r="E4" s="1" t="s">
        <v>26</v>
      </c>
      <c r="F4" s="1" t="s">
        <v>27</v>
      </c>
      <c r="G4" s="1" t="s">
        <v>28</v>
      </c>
      <c r="H4" s="1" t="s">
        <v>60</v>
      </c>
      <c r="I4" s="1" t="s">
        <v>61</v>
      </c>
    </row>
    <row r="5" ht="18.5" spans="4:10">
      <c r="D5" t="s">
        <v>62</v>
      </c>
      <c r="E5" s="2" t="s">
        <v>30</v>
      </c>
      <c r="F5" s="2" t="s">
        <v>31</v>
      </c>
      <c r="G5" s="2" t="s">
        <v>32</v>
      </c>
      <c r="H5" s="5" t="s">
        <v>63</v>
      </c>
    </row>
    <row r="6" ht="18.5" spans="4:10">
      <c r="D6" t="s">
        <v>64</v>
      </c>
      <c r="E6" s="2" t="s">
        <v>33</v>
      </c>
      <c r="F6" s="2" t="s">
        <v>31</v>
      </c>
      <c r="G6" s="2" t="s">
        <v>34</v>
      </c>
      <c r="H6" s="5" t="s">
        <v>65</v>
      </c>
    </row>
    <row r="7" ht="18.5" spans="4:10">
      <c r="D7" t="s">
        <v>66</v>
      </c>
      <c r="E7" s="2" t="s">
        <v>30</v>
      </c>
      <c r="F7" s="2" t="s">
        <v>35</v>
      </c>
      <c r="G7" s="2" t="s">
        <v>36</v>
      </c>
      <c r="H7" s="5" t="s">
        <v>67</v>
      </c>
    </row>
    <row r="8" ht="18.5" spans="4:10">
      <c r="D8" t="s">
        <v>68</v>
      </c>
      <c r="E8" s="2" t="s">
        <v>33</v>
      </c>
      <c r="F8" s="2" t="s">
        <v>35</v>
      </c>
      <c r="G8" s="2" t="s">
        <v>38</v>
      </c>
      <c r="H8" s="5" t="s">
        <v>69</v>
      </c>
    </row>
    <row r="9" ht="18.5" spans="4:10">
      <c r="D9" t="s">
        <v>70</v>
      </c>
      <c r="E9" s="2" t="s">
        <v>30</v>
      </c>
      <c r="F9" s="2" t="s">
        <v>39</v>
      </c>
      <c r="G9" s="2" t="s">
        <v>40</v>
      </c>
      <c r="H9" s="5" t="s">
        <v>71</v>
      </c>
    </row>
    <row r="10" ht="18.5" spans="4:10">
      <c r="E10" s="2"/>
      <c r="F10" s="2"/>
      <c r="G10" s="2"/>
      <c r="H10" s="2"/>
    </row>
    <row r="11" ht="18.5" spans="4:10">
      <c r="E11" s="2"/>
      <c r="F11" s="2"/>
      <c r="G11" s="2"/>
      <c r="H11" s="2"/>
    </row>
    <row r="12" ht="18.5" spans="4:10">
      <c r="E12" s="2"/>
      <c r="F12" s="2"/>
      <c r="G12" s="2"/>
      <c r="H12" s="2"/>
    </row>
    <row r="13" ht="18.5" spans="4:10">
      <c r="D13" s="1" t="s">
        <v>59</v>
      </c>
      <c r="E13" s="1" t="s">
        <v>26</v>
      </c>
      <c r="F13" s="1" t="s">
        <v>27</v>
      </c>
      <c r="G13" s="1" t="s">
        <v>28</v>
      </c>
      <c r="H13" s="1" t="s">
        <v>60</v>
      </c>
      <c r="I13" s="1" t="s">
        <v>61</v>
      </c>
    </row>
    <row r="14" ht="18.5" spans="4:10">
      <c r="D14" t="s">
        <v>62</v>
      </c>
      <c r="E14" s="2" t="s">
        <v>30</v>
      </c>
      <c r="F14" s="2" t="s">
        <v>31</v>
      </c>
      <c r="G14" s="2" t="s">
        <v>32</v>
      </c>
      <c r="H14" s="5" t="s">
        <v>63</v>
      </c>
      <c r="I14" t="str">
        <f xml:space="preserve">REPLACE(H14,J14,1,"Small")</f>
        <v>His Shirt size is Small of Louis Vuitton</v>
      </c>
      <c r="J14" s="4">
        <v>19</v>
      </c>
    </row>
    <row r="15" ht="18.5" spans="4:10">
      <c r="D15" t="s">
        <v>64</v>
      </c>
      <c r="E15" s="2" t="s">
        <v>33</v>
      </c>
      <c r="F15" s="2" t="s">
        <v>31</v>
      </c>
      <c r="G15" s="2" t="s">
        <v>34</v>
      </c>
      <c r="H15" s="5" t="s">
        <v>65</v>
      </c>
    </row>
    <row r="16" ht="18.5" spans="4:10">
      <c r="D16" t="s">
        <v>66</v>
      </c>
      <c r="E16" s="2" t="s">
        <v>30</v>
      </c>
      <c r="F16" s="2" t="s">
        <v>35</v>
      </c>
      <c r="G16" s="2" t="s">
        <v>36</v>
      </c>
      <c r="H16" s="5" t="s">
        <v>67</v>
      </c>
    </row>
    <row r="17" ht="18.5" spans="4:8">
      <c r="D17" t="s">
        <v>68</v>
      </c>
      <c r="E17" s="2" t="s">
        <v>33</v>
      </c>
      <c r="F17" s="2" t="s">
        <v>35</v>
      </c>
      <c r="G17" s="2" t="s">
        <v>38</v>
      </c>
      <c r="H17" s="5" t="s">
        <v>69</v>
      </c>
    </row>
    <row r="18" ht="18.5" spans="4:8">
      <c r="D18" t="s">
        <v>70</v>
      </c>
      <c r="E18" s="2" t="s">
        <v>30</v>
      </c>
      <c r="F18" s="2" t="s">
        <v>39</v>
      </c>
      <c r="G18" s="2" t="s">
        <v>40</v>
      </c>
      <c r="H18" s="5" t="s">
        <v>71</v>
      </c>
    </row>
  </sheetData>
  <customSheetViews>
    <customSheetView guid="{DFB07116-697D-42FF-ACBD-E8FE92938B16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D9596A8-734D-48AD-8922-A58933E39AB8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979108F-FF23-4967-8663-1A0C9618D854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E065FC95-9F37-4AD0-A6AF-202A080459EB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57F7A421-8FD3-4470-813D-526D207C0AED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31F90F3E-FB31-437F-ADCE-44D58804C41D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C1AC0BB-7D81-4427-80BF-DB36D3CC12C1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06F040C9-291C-44DD-A11A-B2BAF2078CA1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8DC39A41-9961-4A5C-8659-B8A82A01A470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9967D63C-4135-4BF7-A83B-0EC0A28A8504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28C5C254-2672-4A7F-9398-2FA6F99EE3FF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AE37E6D9-7485-4A75-9115-FDBD1A6E08D0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73745901-4C3A-49DD-83C4-0AEBB167DB63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5B82F60B-B869-45D3-9A7D-2B843E789197}" scale="120" showGridLines="0" state="hidden" topLeftCell="C1">
      <selection activeCell="I2" sqref="I2"/>
      <pageMargins left="0.7" right="0.7" top="0.75" bottom="0.75" header="0.3" footer="0.3"/>
      <headerFooter/>
    </customSheetView>
    <customSheetView guid="{4725FB26-BADE-478E-8CB6-C0172942A9EE}" scale="120" showGridLines="0" state="hidden" topLeftCell="C1">
      <selection activeCell="I2" sqref="I2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H80"/>
  <sheetViews>
    <sheetView showGridLines="0" zoomScale="130" zoomScaleNormal="130" topLeftCell="B1" workbookViewId="0">
      <selection activeCell="D6" sqref="D6"/>
    </sheetView>
  </sheetViews>
  <sheetFormatPr defaultColWidth="8.83636363636364" defaultRowHeight="14.5" outlineLevelCol="7"/>
  <cols>
    <col min="3" max="3" width="13.5" customWidth="1"/>
    <col min="4" max="4" width="12.5" customWidth="1"/>
    <col min="5" max="5" width="17.5" customWidth="1"/>
    <col min="6" max="6" width="26.3363636363636" customWidth="1"/>
    <col min="7" max="7" width="13.3363636363636" customWidth="1"/>
    <col min="8" max="8" width="32.5" customWidth="1"/>
  </cols>
  <sheetData>
    <row r="4" ht="18.5" spans="3:8">
      <c r="C4" s="1" t="s">
        <v>26</v>
      </c>
      <c r="D4" s="1" t="s">
        <v>27</v>
      </c>
      <c r="E4" s="1" t="s">
        <v>28</v>
      </c>
      <c r="F4" s="1" t="s">
        <v>72</v>
      </c>
      <c r="G4" s="1" t="s">
        <v>73</v>
      </c>
      <c r="H4" s="1" t="s">
        <v>74</v>
      </c>
    </row>
    <row r="5" ht="18.5" spans="3:8">
      <c r="C5" s="2" t="s">
        <v>30</v>
      </c>
      <c r="D5" s="2" t="s">
        <v>31</v>
      </c>
      <c r="E5" s="2" t="s">
        <v>32</v>
      </c>
      <c r="F5" s="3">
        <v>44846</v>
      </c>
      <c r="G5" s="3">
        <f ca="1" xml:space="preserve">TODAY()</f>
        <v>46316</v>
      </c>
      <c r="H5" s="4"/>
    </row>
    <row r="6" ht="18.5" spans="3:8">
      <c r="C6" s="2" t="s">
        <v>33</v>
      </c>
      <c r="D6" s="2" t="s">
        <v>31</v>
      </c>
      <c r="E6" s="2" t="s">
        <v>34</v>
      </c>
      <c r="F6" s="3">
        <v>44331</v>
      </c>
      <c r="G6" s="3">
        <f ca="1" t="shared" ref="G6:G13" si="0" xml:space="preserve">TODAY()</f>
        <v>46316</v>
      </c>
      <c r="H6" s="4"/>
    </row>
    <row r="7" ht="18.5" spans="3:8">
      <c r="C7" s="2" t="s">
        <v>30</v>
      </c>
      <c r="D7" s="2" t="s">
        <v>35</v>
      </c>
      <c r="E7" s="2" t="s">
        <v>36</v>
      </c>
      <c r="F7" s="3">
        <v>40188</v>
      </c>
      <c r="G7" s="3">
        <f ca="1" t="shared" si="0"/>
        <v>46316</v>
      </c>
      <c r="H7" s="4"/>
    </row>
    <row r="8" ht="18.5" spans="3:8">
      <c r="C8" s="2" t="s">
        <v>33</v>
      </c>
      <c r="D8" s="2" t="s">
        <v>35</v>
      </c>
      <c r="E8" s="2" t="s">
        <v>38</v>
      </c>
      <c r="F8" s="3">
        <v>44860</v>
      </c>
      <c r="G8" s="3">
        <f ca="1" t="shared" si="0"/>
        <v>46316</v>
      </c>
      <c r="H8" s="4"/>
    </row>
    <row r="9" ht="18.5" spans="3:8">
      <c r="C9" s="2" t="s">
        <v>30</v>
      </c>
      <c r="D9" s="2" t="s">
        <v>39</v>
      </c>
      <c r="E9" s="2" t="s">
        <v>40</v>
      </c>
      <c r="F9" s="3">
        <v>44512</v>
      </c>
      <c r="G9" s="3">
        <f ca="1" t="shared" si="0"/>
        <v>46316</v>
      </c>
      <c r="H9" s="4"/>
    </row>
    <row r="10" ht="18.5" spans="3:8">
      <c r="C10" s="2" t="s">
        <v>33</v>
      </c>
      <c r="D10" s="2" t="s">
        <v>39</v>
      </c>
      <c r="E10" s="2" t="s">
        <v>41</v>
      </c>
      <c r="F10" s="3">
        <v>44592</v>
      </c>
      <c r="G10" s="3">
        <f ca="1" t="shared" si="0"/>
        <v>46316</v>
      </c>
      <c r="H10" s="4"/>
    </row>
    <row r="11" ht="18.5" spans="3:8">
      <c r="C11" s="2" t="s">
        <v>30</v>
      </c>
      <c r="D11" s="2" t="s">
        <v>31</v>
      </c>
      <c r="E11" s="2" t="s">
        <v>42</v>
      </c>
      <c r="F11" s="3">
        <v>44560</v>
      </c>
      <c r="G11" s="3">
        <f ca="1" t="shared" si="0"/>
        <v>46316</v>
      </c>
      <c r="H11" s="4"/>
    </row>
    <row r="12" ht="18.5" spans="3:8">
      <c r="C12" s="2" t="s">
        <v>33</v>
      </c>
      <c r="D12" s="2" t="s">
        <v>35</v>
      </c>
      <c r="E12" s="2" t="s">
        <v>43</v>
      </c>
      <c r="F12" s="3">
        <v>44566</v>
      </c>
      <c r="G12" s="3">
        <f ca="1" t="shared" si="0"/>
        <v>46316</v>
      </c>
      <c r="H12" s="4"/>
    </row>
    <row r="13" ht="18.5" spans="3:8">
      <c r="C13" s="2" t="s">
        <v>33</v>
      </c>
      <c r="D13" s="2" t="s">
        <v>39</v>
      </c>
      <c r="E13" s="2" t="s">
        <v>44</v>
      </c>
      <c r="F13" s="3">
        <v>43267</v>
      </c>
      <c r="G13" s="3">
        <f ca="1" t="shared" si="0"/>
        <v>46316</v>
      </c>
      <c r="H13" s="4"/>
    </row>
    <row r="24" ht="18.5" spans="3:6">
      <c r="C24" s="1" t="s">
        <v>26</v>
      </c>
      <c r="D24" s="1" t="s">
        <v>27</v>
      </c>
      <c r="E24" s="1" t="s">
        <v>28</v>
      </c>
      <c r="F24" s="1" t="s">
        <v>72</v>
      </c>
    </row>
    <row r="25" ht="18.5" spans="3:6">
      <c r="C25" s="2" t="s">
        <v>30</v>
      </c>
      <c r="D25" s="2" t="s">
        <v>31</v>
      </c>
      <c r="E25" s="2" t="s">
        <v>32</v>
      </c>
      <c r="F25" s="3">
        <v>44846</v>
      </c>
    </row>
    <row r="26" ht="18.5" spans="3:6">
      <c r="C26" s="2" t="s">
        <v>33</v>
      </c>
      <c r="D26" s="2" t="s">
        <v>31</v>
      </c>
      <c r="E26" s="2" t="s">
        <v>34</v>
      </c>
      <c r="F26" s="3">
        <v>44331</v>
      </c>
    </row>
    <row r="27" ht="18.5" spans="3:6">
      <c r="C27" s="2" t="s">
        <v>30</v>
      </c>
      <c r="D27" s="2" t="s">
        <v>35</v>
      </c>
      <c r="E27" s="2" t="s">
        <v>36</v>
      </c>
      <c r="F27" s="3">
        <v>40188</v>
      </c>
    </row>
    <row r="28" ht="18.5" spans="3:6">
      <c r="C28" s="2" t="s">
        <v>33</v>
      </c>
      <c r="D28" s="2" t="s">
        <v>35</v>
      </c>
      <c r="E28" s="2" t="s">
        <v>38</v>
      </c>
      <c r="F28" s="3">
        <v>44860</v>
      </c>
    </row>
    <row r="29" ht="18.5" spans="3:6">
      <c r="C29" s="2" t="s">
        <v>30</v>
      </c>
      <c r="D29" s="2" t="s">
        <v>39</v>
      </c>
      <c r="E29" s="2" t="s">
        <v>40</v>
      </c>
      <c r="F29" s="3">
        <v>44512</v>
      </c>
    </row>
    <row r="30" ht="18.5" spans="3:6">
      <c r="C30" s="2" t="s">
        <v>33</v>
      </c>
      <c r="D30" s="2" t="s">
        <v>39</v>
      </c>
      <c r="E30" s="2" t="s">
        <v>41</v>
      </c>
      <c r="F30" s="3">
        <v>44592</v>
      </c>
    </row>
    <row r="31" ht="18.5" spans="3:6">
      <c r="C31" s="2" t="s">
        <v>30</v>
      </c>
      <c r="D31" s="2" t="s">
        <v>31</v>
      </c>
      <c r="E31" s="2" t="s">
        <v>42</v>
      </c>
      <c r="F31" s="3">
        <v>44925</v>
      </c>
    </row>
    <row r="32" ht="18.5" spans="3:6">
      <c r="C32" s="2" t="s">
        <v>33</v>
      </c>
      <c r="D32" s="2" t="s">
        <v>35</v>
      </c>
      <c r="E32" s="2" t="s">
        <v>43</v>
      </c>
      <c r="F32" s="3">
        <v>44931</v>
      </c>
    </row>
    <row r="33" ht="18.5" spans="3:6">
      <c r="C33" s="2" t="s">
        <v>33</v>
      </c>
      <c r="D33" s="2" t="s">
        <v>39</v>
      </c>
      <c r="E33" s="2" t="s">
        <v>44</v>
      </c>
      <c r="F33" s="3">
        <v>43267</v>
      </c>
    </row>
    <row r="45" ht="18.5" spans="3:6">
      <c r="C45" s="1" t="s">
        <v>26</v>
      </c>
      <c r="D45" s="1" t="s">
        <v>27</v>
      </c>
      <c r="E45" s="1" t="s">
        <v>28</v>
      </c>
      <c r="F45" s="1" t="s">
        <v>72</v>
      </c>
    </row>
    <row r="46" ht="18.5" spans="3:6">
      <c r="C46" s="2" t="s">
        <v>30</v>
      </c>
      <c r="D46" s="2" t="s">
        <v>31</v>
      </c>
      <c r="E46" s="2" t="s">
        <v>32</v>
      </c>
      <c r="F46" s="3">
        <v>44846</v>
      </c>
    </row>
    <row r="47" ht="18.5" spans="3:6">
      <c r="C47" s="2" t="s">
        <v>33</v>
      </c>
      <c r="D47" s="2" t="s">
        <v>31</v>
      </c>
      <c r="E47" s="2" t="s">
        <v>34</v>
      </c>
      <c r="F47" s="3">
        <v>44331</v>
      </c>
    </row>
    <row r="48" ht="18.5" spans="3:6">
      <c r="C48" s="2" t="s">
        <v>30</v>
      </c>
      <c r="D48" s="2" t="s">
        <v>35</v>
      </c>
      <c r="E48" s="2" t="s">
        <v>36</v>
      </c>
      <c r="F48" s="3">
        <v>40188</v>
      </c>
    </row>
    <row r="49" ht="18.5" spans="3:6">
      <c r="C49" s="2" t="s">
        <v>33</v>
      </c>
      <c r="D49" s="2" t="s">
        <v>35</v>
      </c>
      <c r="E49" s="2" t="s">
        <v>38</v>
      </c>
      <c r="F49" s="3">
        <v>44860</v>
      </c>
    </row>
    <row r="50" ht="18.5" spans="3:6">
      <c r="C50" s="2" t="s">
        <v>30</v>
      </c>
      <c r="D50" s="2" t="s">
        <v>39</v>
      </c>
      <c r="E50" s="2" t="s">
        <v>40</v>
      </c>
      <c r="F50" s="3">
        <v>44512</v>
      </c>
    </row>
    <row r="51" ht="18.5" spans="3:6">
      <c r="C51" s="2" t="s">
        <v>33</v>
      </c>
      <c r="D51" s="2" t="s">
        <v>39</v>
      </c>
      <c r="E51" s="2" t="s">
        <v>41</v>
      </c>
      <c r="F51" s="3">
        <v>44592</v>
      </c>
    </row>
    <row r="52" ht="18.5" spans="3:6">
      <c r="C52" s="2" t="s">
        <v>30</v>
      </c>
      <c r="D52" s="2" t="s">
        <v>31</v>
      </c>
      <c r="E52" s="2" t="s">
        <v>42</v>
      </c>
      <c r="F52" s="3">
        <v>44925</v>
      </c>
    </row>
    <row r="53" ht="18.5" spans="3:6">
      <c r="C53" s="2" t="s">
        <v>33</v>
      </c>
      <c r="D53" s="2" t="s">
        <v>35</v>
      </c>
      <c r="E53" s="2" t="s">
        <v>43</v>
      </c>
      <c r="F53" s="3">
        <v>44931</v>
      </c>
    </row>
    <row r="54" ht="18.5" spans="3:6">
      <c r="C54" s="2" t="s">
        <v>33</v>
      </c>
      <c r="D54" s="2" t="s">
        <v>39</v>
      </c>
      <c r="E54" s="2" t="s">
        <v>44</v>
      </c>
      <c r="F54" s="3">
        <v>43267</v>
      </c>
    </row>
    <row r="71" ht="18.5" spans="3:6">
      <c r="C71" s="1" t="s">
        <v>26</v>
      </c>
      <c r="D71" s="1" t="s">
        <v>27</v>
      </c>
      <c r="E71" s="1" t="s">
        <v>28</v>
      </c>
      <c r="F71" s="1" t="s">
        <v>72</v>
      </c>
    </row>
    <row r="72" ht="18.5" spans="3:6">
      <c r="C72" s="2" t="s">
        <v>30</v>
      </c>
      <c r="D72" s="2" t="s">
        <v>31</v>
      </c>
      <c r="E72" s="2" t="s">
        <v>32</v>
      </c>
      <c r="F72" s="3">
        <v>44846</v>
      </c>
    </row>
    <row r="73" ht="18.5" spans="3:6">
      <c r="C73" s="2" t="s">
        <v>33</v>
      </c>
      <c r="D73" s="2" t="s">
        <v>31</v>
      </c>
      <c r="E73" s="2" t="s">
        <v>34</v>
      </c>
      <c r="F73" s="3">
        <v>44331</v>
      </c>
    </row>
    <row r="74" ht="18.5" spans="3:6">
      <c r="C74" s="2" t="s">
        <v>30</v>
      </c>
      <c r="D74" s="2" t="s">
        <v>35</v>
      </c>
      <c r="E74" s="2" t="s">
        <v>36</v>
      </c>
      <c r="F74" s="3">
        <v>40188</v>
      </c>
    </row>
    <row r="75" ht="18.5" spans="3:6">
      <c r="C75" s="2" t="s">
        <v>33</v>
      </c>
      <c r="D75" s="2" t="s">
        <v>35</v>
      </c>
      <c r="E75" s="2" t="s">
        <v>38</v>
      </c>
      <c r="F75" s="3">
        <v>44860</v>
      </c>
    </row>
    <row r="76" ht="18.5" spans="3:6">
      <c r="C76" s="2" t="s">
        <v>30</v>
      </c>
      <c r="D76" s="2" t="s">
        <v>39</v>
      </c>
      <c r="E76" s="2" t="s">
        <v>40</v>
      </c>
      <c r="F76" s="3">
        <v>44512</v>
      </c>
    </row>
    <row r="77" ht="18.5" spans="3:6">
      <c r="C77" s="2" t="s">
        <v>33</v>
      </c>
      <c r="D77" s="2" t="s">
        <v>39</v>
      </c>
      <c r="E77" s="2" t="s">
        <v>41</v>
      </c>
      <c r="F77" s="3">
        <v>44592</v>
      </c>
    </row>
    <row r="78" ht="18.5" spans="3:6">
      <c r="C78" s="2" t="s">
        <v>30</v>
      </c>
      <c r="D78" s="2" t="s">
        <v>31</v>
      </c>
      <c r="E78" s="2" t="s">
        <v>42</v>
      </c>
      <c r="F78" s="3">
        <v>44925</v>
      </c>
    </row>
    <row r="79" ht="18.5" spans="3:6">
      <c r="C79" s="2" t="s">
        <v>33</v>
      </c>
      <c r="D79" s="2" t="s">
        <v>35</v>
      </c>
      <c r="E79" s="2" t="s">
        <v>43</v>
      </c>
      <c r="F79" s="3">
        <v>44931</v>
      </c>
    </row>
    <row r="80" ht="18.5" spans="3:6">
      <c r="C80" s="2" t="s">
        <v>33</v>
      </c>
      <c r="D80" s="2" t="s">
        <v>39</v>
      </c>
      <c r="E80" s="2" t="s">
        <v>44</v>
      </c>
      <c r="F80" s="3">
        <v>43267</v>
      </c>
    </row>
  </sheetData>
  <customSheetViews>
    <customSheetView guid="{DFB07116-697D-42FF-ACBD-E8FE92938B16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D9596A8-734D-48AD-8922-A58933E39AB8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979108F-FF23-4967-8663-1A0C9618D854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E065FC95-9F37-4AD0-A6AF-202A080459EB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57F7A421-8FD3-4470-813D-526D207C0AED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31F90F3E-FB31-437F-ADCE-44D58804C41D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C1AC0BB-7D81-4427-80BF-DB36D3CC12C1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06F040C9-291C-44DD-A11A-B2BAF2078CA1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8DC39A41-9961-4A5C-8659-B8A82A01A470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9967D63C-4135-4BF7-A83B-0EC0A28A8504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28C5C254-2672-4A7F-9398-2FA6F99EE3FF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AE37E6D9-7485-4A75-9115-FDBD1A6E08D0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73745901-4C3A-49DD-83C4-0AEBB167DB63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5B82F60B-B869-45D3-9A7D-2B843E789197}" scale="130" showGridLines="0" state="hidden" topLeftCell="B1">
      <selection activeCell="D6" sqref="D6"/>
      <pageMargins left="0.7" right="0.7" top="0.75" bottom="0.75" header="0.3" footer="0.3"/>
      <headerFooter/>
    </customSheetView>
    <customSheetView guid="{4725FB26-BADE-478E-8CB6-C0172942A9EE}" scale="130" showGridLines="0" state="hidden" topLeftCell="B1">
      <selection activeCell="D6" sqref="D6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Text</vt:lpstr>
      <vt:lpstr>Substitute Switch</vt:lpstr>
      <vt:lpstr>Substitute and Replace</vt:lpstr>
      <vt:lpstr>Date Formulas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TAMIZH</dc:creator>
  <cp:lastModifiedBy>WPS_1787045862</cp:lastModifiedBy>
  <dcterms:created xsi:type="dcterms:W3CDTF">2022-03-05T05:03:00Z</dcterms:created>
  <dcterms:modified xsi:type="dcterms:W3CDTF">2026-10-21T08:59:53Z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A71BF4A7189D470DB8D24AF7265EBD79_12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