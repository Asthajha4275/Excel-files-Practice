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8350" windowHeight="6800" activeTab="3"/>
  </bookViews>
  <sheets>
    <sheet name="Round" sheetId="15" r:id="rId1"/>
    <sheet name="RUP, RDown &amp; MRound" sheetId="40" r:id="rId2"/>
    <sheet name="MRound" sheetId="41" r:id="rId3"/>
    <sheet name="Floor &amp; Ceiling" sheetId="35" r:id="rId4"/>
    <sheet name="IFS" sheetId="1" state="hidden" r:id="rId5"/>
  </sheets>
  <definedNames>
    <definedName name="_xlnm._FilterDatabase" localSheetId="0" hidden="1">Round!$B$3:$E$15</definedName>
    <definedName name="Z_0458C18D_9EF5_4516_9145_CA54D8EB1865_.wvu.FilterData" localSheetId="0" hidden="1">Round!$B$3:$E$15</definedName>
    <definedName name="Z_08E755F8_82E9_4D95_862B_81F55FBDDDF6_.wvu.FilterData" localSheetId="0" hidden="1">Round!$B$3:$E$15</definedName>
    <definedName name="Z_0BF42E77_7016_4BE4_A5AB_A49974630D91_.wvu.FilterData" localSheetId="0" hidden="1">Round!$B$3:$E$15</definedName>
    <definedName name="Z_0E02FCC8_6440_4859_9F6B_C77617EF5D89_.wvu.FilterData" localSheetId="0" hidden="1">Round!$B$3:$E$15</definedName>
    <definedName name="Z_86D36E03_787A_41EB_85FF_8BB8A222055B_.wvu.FilterData" localSheetId="0" hidden="1">Round!$B$3:$E$15</definedName>
    <definedName name="Z_B19B24CB_B859_49E3_8AE0_2D671510EE4F_.wvu.FilterData" localSheetId="0" hidden="1">Round!$B$3:$E$15</definedName>
    <definedName name="Z_C453A932_6110_4A84_A9C2_26C809391387_.wvu.FilterData" localSheetId="0" hidden="1">Round!$B$3:$E$15</definedName>
    <definedName name="Z_D9413B31_FDB2_4AE8_80A8_7F09954E703C_.wvu.FilterData" localSheetId="0" hidden="1">Round!$B$3:$E$15</definedName>
    <definedName name="Z_DFE0B66A_2DCB_4802_A91B_F836707AD43C_.wvu.FilterData" localSheetId="0" hidden="1">Round!$B$3:$E$15</definedName>
    <definedName name="Z_EE811897_5BF5_4321_9879_5B7EDF90A350_.wvu.FilterData" localSheetId="0" hidden="1">Round!$B$3:$E$15</definedName>
    <definedName name="Z_FF03E81F_A9A8_4546_A9C3_77A6EEA02ED9_.wvu.FilterData" localSheetId="0" hidden="1">Round!$B$3:$E$15</definedName>
  </definedNames>
  <calcPr calcId="191029"/>
  <customWorkbookViews>
    <customWorkbookView name="if3" guid="{86D36E03-787A-41EB-85FF-8BB8A222055B}" maximized="1" xWindow="-8" yWindow="-8" windowWidth="1382" windowHeight="784" activeSheetId="0"/>
    <customWorkbookView name="if2" guid="{08E755F8-82E9-4D95-862B-81F55FBDDDF6}" maximized="1" xWindow="-8" yWindow="-8" windowWidth="1382" windowHeight="784" activeSheetId="0"/>
    <customWorkbookView name="if1" guid="{C453A932-6110-4A84-A9C2-26C809391387}" maximized="1" xWindow="-8" yWindow="-8" windowWidth="1382" windowHeight="784" activeSheetId="0"/>
    <customWorkbookView name="maxifs8" guid="{0BF42E77-7016-4BE4-A5AB-A49974630D91}" maximized="1" xWindow="-8" yWindow="-8" windowWidth="1382" windowHeight="784" activeSheetId="0"/>
    <customWorkbookView name="maxifs7" guid="{B19B24CB-B859-49E3-8AE0-2D671510EE4F}" maximized="1" xWindow="-8" yWindow="-8" windowWidth="1382" windowHeight="784" activeSheetId="0"/>
    <customWorkbookView name="maxifs6" guid="{D9413B31-FDB2-4AE8-80A8-7F09954E703C}" maximized="1" xWindow="-8" yWindow="-8" windowWidth="1382" windowHeight="784" activeSheetId="0"/>
    <customWorkbookView name="maxifs5" guid="{FF03E81F-A9A8-4546-A9C3-77A6EEA02ED9}" maximized="1" xWindow="-8" yWindow="-8" windowWidth="1382" windowHeight="784" activeSheetId="0"/>
    <customWorkbookView name="maxifs4" guid="{EE811897-5BF5-4321-9879-5B7EDF90A350}" maximized="1" xWindow="-8" yWindow="-8" windowWidth="1382" windowHeight="784" activeSheetId="0"/>
    <customWorkbookView name="maxifs3" guid="{0E02FCC8-6440-4859-9F6B-C77617EF5D89}" maximized="1" xWindow="-8" yWindow="-8" windowWidth="1382" windowHeight="784" activeSheetId="0"/>
    <customWorkbookView name="maxifs2" guid="{0458C18D-9EF5-4516-9145-CA54D8EB1865}" maximized="1" xWindow="-8" yWindow="-8" windowWidth="1382" windowHeight="784" activeSheetId="0"/>
    <customWorkbookView name="maxifs1" guid="{DFE0B66A-2DCB-4802-A91B-F836707AD43C}" maximized="1" xWindow="-8" yWindow="-8" windowWidth="1382" windowHeight="784" activeSheetId="0"/>
    <customWorkbookView name="concat" guid="{3511E245-32F9-4CFF-8540-6B03C6FAE218}" maximized="1" xWindow="-8" yWindow="-8" windowWidth="1382" windowHeight="784" activeSheetId="0"/>
    <customWorkbookView name="textjoin" guid="{CE50DC7E-3038-4337-BAC8-5B16EE1D95B0}" maximized="1" xWindow="-8" yWindow="-8" windowWidth="1382" windowHeight="784" activeSheetId="0"/>
    <customWorkbookView name="hardconcat" guid="{C908A6D6-4C77-416B-BC46-6F501B5F842F}" maximized="1" xWindow="-8" yWindow="-8" windowWidth="1382" windowHeight="784" activeSheetId="0"/>
    <customWorkbookView name="proper" guid="{C575B46A-1D4C-489C-97AE-5DAB6560E171}" maximized="1" xWindow="-8" yWindow="-8" windowWidth="1382" windowHeight="784" activeSheetId="0"/>
    <customWorkbookView name="lower" guid="{81DEBAD0-6E86-4DFB-8642-C52E8C976BDA}" maximized="1" xWindow="-8" yWindow="-8" windowWidth="1382" windowHeight="784" activeSheetId="0"/>
    <customWorkbookView name="upper" guid="{58306194-C83B-413E-AC5F-AD717216CB21}" maximized="1" xWindow="-8" yWindow="-8" windowWidth="1382" windowHeight="784" activeSheetId="0"/>
    <customWorkbookView name="mid" guid="{E4375DB4-4B74-46BC-A9F2-C5C5055B366F}" maximized="1" xWindow="-8" yWindow="-8" windowWidth="1382" windowHeight="784" activeSheetId="41"/>
    <customWorkbookView name="right" guid="{2CEDB1FB-2942-4B51-BF30-285DCDB05292}" maximized="1" xWindow="-8" yWindow="-8" windowWidth="1382" windowHeight="784" activeSheetId="41"/>
    <customWorkbookView name="left" guid="{DF16608F-40E8-490E-B08D-ED6EEAB8B9EC}" maximized="1" xWindow="-8" yWindow="-8" windowWidth="1382" windowHeight="784" activeSheetId="41"/>
    <customWorkbookView name="mround" guid="{2032DE14-E33D-44B5-9022-A2B48F059704}" maximized="1" xWindow="-8" yWindow="-8" windowWidth="1382" windowHeight="784" activeSheetId="40"/>
    <customWorkbookView name="rounddown" guid="{EE4A95A5-BF42-4BAA-B9EB-84A9230A28F9}" maximized="1" xWindow="-8" yWindow="-8" windowWidth="1382" windowHeight="784" activeSheetId="40"/>
    <customWorkbookView name="roundup" guid="{8BEA0E04-8B9A-4A2D-9B80-4E7685E22D5E}" maximized="1" xWindow="-8" yWindow="-8" windowWidth="1382" windowHeight="784" activeSheetId="40"/>
    <customWorkbookView name="ceiling" guid="{0125BE01-BBC8-4E5A-9A9A-3D1257916B8C}" maximized="1" xWindow="-8" yWindow="-8" windowWidth="1382" windowHeight="784" activeSheetId="35"/>
    <customWorkbookView name="floor" guid="{7A9AB605-DB82-470C-B86B-95E2AB3523F6}" maximized="1" xWindow="-8" yWindow="-8" windowWidth="1382" windowHeight="784" activeSheetId="35"/>
    <customWorkbookView name="minifs8" guid="{FC8D231F-57F9-45EE-9DEF-D7ED111600EB}" maximized="1" xWindow="-8" yWindow="-8" windowWidth="1382" windowHeight="784" activeSheetId="0"/>
    <customWorkbookView name="minifs7" guid="{395DC3D6-3299-4A43-88E2-62703FCC0349}" maximized="1" xWindow="-8" yWindow="-8" windowWidth="1382" windowHeight="784" activeSheetId="0"/>
    <customWorkbookView name="minifs6" guid="{5C8F4C13-387F-42D2-8CB5-92C4886D7919}" maximized="1" xWindow="-8" yWindow="-8" windowWidth="1382" windowHeight="784" activeSheetId="0"/>
    <customWorkbookView name="minifs5" guid="{8A25BF65-C908-4B2F-9805-3CD39BD4330E}" maximized="1" xWindow="-8" yWindow="-8" windowWidth="1382" windowHeight="784" activeSheetId="0"/>
    <customWorkbookView name="minifs4" guid="{F9A03991-7A83-41AE-B603-3D22265CDA22}" maximized="1" xWindow="-8" yWindow="-8" windowWidth="1382" windowHeight="784" activeSheetId="0"/>
    <customWorkbookView name="minifs3" guid="{FEB5A49F-F7F7-412A-BE72-F90F7A4799C8}" maximized="1" xWindow="-8" yWindow="-8" windowWidth="1382" windowHeight="784" activeSheetId="0"/>
    <customWorkbookView name="minifs2" guid="{F518ECB9-5D92-41E0-BFD2-C5175A02444D}" maximized="1" xWindow="-8" yWindow="-8" windowWidth="1382" windowHeight="784" activeSheetId="0"/>
    <customWorkbookView name="minifs1" guid="{BCAB4838-A37A-4BCF-A9C9-CC50C95F58C7}" maximized="1" xWindow="-8" yWindow="-8" windowWidth="1382" windowHeight="784" activeSheetId="0"/>
    <customWorkbookView name="countifs8" guid="{E1A67331-473F-4161-806C-BE35870C93B5}" maximized="1" xWindow="-8" yWindow="-8" windowWidth="1382" windowHeight="784" activeSheetId="0"/>
    <customWorkbookView name="countifs7" guid="{CC562453-1E6B-4010-9E1B-775397A26EFA}" maximized="1" xWindow="-8" yWindow="-8" windowWidth="1382" windowHeight="784" activeSheetId="0"/>
    <customWorkbookView name="countifs6" guid="{644A6A80-0D34-48F6-A071-17016DCD2D6E}" maximized="1" xWindow="-8" yWindow="-8" windowWidth="1382" windowHeight="784" activeSheetId="0"/>
    <customWorkbookView name="countifs5" guid="{C65059E8-30E8-488B-A0E9-1B7961920C81}" maximized="1" xWindow="-8" yWindow="-8" windowWidth="1382" windowHeight="784" activeSheetId="0"/>
    <customWorkbookView name="countifs4" guid="{95D39BA8-2B16-4954-ABAC-09AD33A86339}" maximized="1" xWindow="-8" yWindow="-8" windowWidth="1382" windowHeight="784" activeSheetId="0"/>
    <customWorkbookView name="countifs3" guid="{25A4A7C0-9593-456C-861C-76D101D3FE93}" maximized="1" xWindow="-8" yWindow="-8" windowWidth="1382" windowHeight="784" activeSheetId="0"/>
    <customWorkbookView name="countifs2" guid="{51BA8A3D-4711-49ED-89E2-EBC09DF2AEDC}" maximized="1" xWindow="-8" yWindow="-8" windowWidth="1382" windowHeight="784" activeSheetId="0"/>
    <customWorkbookView name="countifs1" guid="{629A478C-29B1-4F25-A016-63CE32A1627F}" maximized="1" xWindow="-8" yWindow="-8" windowWidth="1382" windowHeight="784" activeSheetId="0"/>
    <customWorkbookView name="averageifs8" guid="{F789A6E6-3D06-4D93-BF02-46FA1A2548B2}" maximized="1" xWindow="-8" yWindow="-8" windowWidth="1382" windowHeight="784" activeSheetId="0"/>
    <customWorkbookView name="averageifs7" guid="{15D7A002-B247-4A6B-A16B-61BDD9B0066A}" maximized="1" xWindow="-8" yWindow="-8" windowWidth="1382" windowHeight="784" activeSheetId="0"/>
    <customWorkbookView name="averageifs6" guid="{9AFCAA87-4888-4976-A7C9-C06A34CB6C97}" maximized="1" xWindow="-8" yWindow="-8" windowWidth="1382" windowHeight="784" activeSheetId="0"/>
    <customWorkbookView name="averageifs5" guid="{E4FF7DB9-14DF-49DB-9F59-1898DDED4DCE}" maximized="1" xWindow="-8" yWindow="-8" windowWidth="1382" windowHeight="784" activeSheetId="0"/>
    <customWorkbookView name="averageifs4" guid="{EC7537C6-1678-41C1-B788-EF4AFFECF769}" maximized="1" xWindow="-8" yWindow="-8" windowWidth="1382" windowHeight="784" activeSheetId="0"/>
    <customWorkbookView name="averageifs3" guid="{1920E7A3-1C9F-4320-81BB-D11544051025}" maximized="1" xWindow="-8" yWindow="-8" windowWidth="1382" windowHeight="784" activeSheetId="0"/>
    <customWorkbookView name="averageifs2" guid="{02D27969-4CD1-473E-A0E8-856AB0664DE8}" maximized="1" xWindow="-8" yWindow="-8" windowWidth="1382" windowHeight="784" activeSheetId="0"/>
    <customWorkbookView name="averageifs1" guid="{422703F6-63C4-435C-AFE7-1030286678F6}" maximized="1" xWindow="-8" yWindow="-8" windowWidth="1382" windowHeight="784" activeSheetId="0"/>
    <customWorkbookView name="sumifs8" guid="{F3CB97AD-592C-4B6E-8AE3-1CD47479060C}" maximized="1" xWindow="-8" yWindow="-8" windowWidth="1382" windowHeight="784" activeSheetId="0"/>
    <customWorkbookView name="sumifs7" guid="{19DA6E7F-8950-4769-9BBE-2798EFA465A3}" maximized="1" xWindow="-8" yWindow="-8" windowWidth="1382" windowHeight="784" activeSheetId="0"/>
    <customWorkbookView name="sumifs6" guid="{47C01131-7443-4080-A2BB-6B6AA35C6913}" maximized="1" xWindow="-8" yWindow="-8" windowWidth="1382" windowHeight="784" activeSheetId="0"/>
    <customWorkbookView name="sumifs5" guid="{C7330417-67A9-44CF-917F-5F5E2F191AD4}" maximized="1" xWindow="-8" yWindow="-8" windowWidth="1382" windowHeight="784" activeSheetId="0"/>
    <customWorkbookView name="sumifs4" guid="{EBA5E9C4-A2DB-4DF0-BF75-1243E968318E}" maximized="1" xWindow="-8" yWindow="-8" windowWidth="1382" windowHeight="784" activeSheetId="0"/>
    <customWorkbookView name="sumifs3" guid="{7A7FC9A5-F2B5-4894-82BC-4528575F10D4}" maximized="1" xWindow="-8" yWindow="-8" windowWidth="1382" windowHeight="784" activeSheetId="0"/>
    <customWorkbookView name="sumifs2" guid="{6194C141-D0A1-4D58-BA55-90A184525AC3}" maximized="1" xWindow="-8" yWindow="-8" windowWidth="1382" windowHeight="784" activeSheetId="0"/>
    <customWorkbookView name="sumifs1" guid="{A5292A6B-6F92-4AB3-B051-EF87F39FC489}" maximized="1" xWindow="-8" yWindow="-8" windowWidth="1382" windowHeight="784" activeSheetId="0"/>
    <customWorkbookView name="sumif1" guid="{C090DFAD-A23A-4678-87F2-095D84EBDDE8}" maximized="1" xWindow="-8" yWindow="-8" windowWidth="1382" windowHeight="744" activeSheetId="15"/>
    <customWorkbookView name="sumif2" guid="{4F11E31F-E14C-416D-BB97-C8CE74658FBE}" maximized="1" xWindow="-8" yWindow="-8" windowWidth="1382" windowHeight="744" activeSheetId="15"/>
    <customWorkbookView name="sumif3" guid="{F2A17A28-A3DF-492D-BAE9-AAEF2A13397B}" maximized="1" xWindow="-8" yWindow="-8" windowWidth="1382" windowHeight="744" activeSheetId="15"/>
    <customWorkbookView name="sumif4" guid="{8F332A92-7271-4FEC-B085-C15AA232FE21}" maximized="1" xWindow="-8" yWindow="-8" windowWidth="1382" windowHeight="744" activeSheetId="15"/>
    <customWorkbookView name="sumif5" guid="{6B1EB7F4-EF59-450E-A531-475C3A6E6150}" maximized="1" xWindow="-8" yWindow="-8" windowWidth="1382" windowHeight="744" activeSheetId="15"/>
    <customWorkbookView name="sumif6" guid="{8EBF087E-11C5-42EE-B564-FAEE72C86C17}" maximized="1" xWindow="-8" yWindow="-8" windowWidth="1382" windowHeight="744" activeSheetId="15"/>
    <customWorkbookView name="averageif1" guid="{F716839F-5448-40FC-95BC-286199FD6764}" maximized="1" xWindow="-8" yWindow="-8" windowWidth="1382" windowHeight="744" activeSheetId="0"/>
    <customWorkbookView name="averageif2" guid="{E712F22D-DF79-4936-B86B-186E637372BF}" maximized="1" xWindow="-8" yWindow="-8" windowWidth="1382" windowHeight="744" activeSheetId="0"/>
    <customWorkbookView name="averageif3" guid="{672B3D91-11D6-418C-A856-9FF74CE5E6FB}" maximized="1" xWindow="-8" yWindow="-8" windowWidth="1382" windowHeight="744" activeSheetId="0"/>
    <customWorkbookView name="averageif4" guid="{5B4753E1-B7DC-40C2-A28F-B07A6CB075FE}" maximized="1" xWindow="-8" yWindow="-8" windowWidth="1382" windowHeight="744" activeSheetId="0"/>
    <customWorkbookView name="averageif5" guid="{EF2006E2-DE9B-4938-AD6F-8255BE7D529F}" maximized="1" xWindow="-8" yWindow="-8" windowWidth="1382" windowHeight="744" activeSheetId="0"/>
    <customWorkbookView name="averageif6" guid="{0BFB30CE-F6D9-44B3-99BA-62858BF46600}" maximized="1" xWindow="-8" yWindow="-8" windowWidth="1382" windowHeight="744" activeSheetId="0"/>
    <customWorkbookView name="countif1" guid="{E3977DAC-58A9-43A5-A2CD-037AE84A3934}" maximized="1" xWindow="-8" yWindow="-8" windowWidth="1382" windowHeight="744" activeSheetId="0"/>
    <customWorkbookView name="countif2" guid="{E18774DE-EF27-4708-91D7-FE2A7EE4C992}" maximized="1" xWindow="-8" yWindow="-8" windowWidth="1382" windowHeight="744" activeSheetId="0"/>
    <customWorkbookView name="countif3" guid="{F102CDDA-1DB7-4BD5-8A8F-CD5640485596}" maximized="1" xWindow="-8" yWindow="-8" windowWidth="1382" windowHeight="744" activeSheetId="0"/>
    <customWorkbookView name="countif4" guid="{A3C7F73E-8288-4122-801A-9A426BB0DFB8}" maximized="1" xWindow="-8" yWindow="-8" windowWidth="1382" windowHeight="744" activeSheetId="0"/>
    <customWorkbookView name="countif5" guid="{C1FEC2CE-0AE0-4F12-8438-BD3D230D3830}" maximized="1" xWindow="-8" yWindow="-8" windowWidth="1382" windowHeight="744" activeSheetId="0"/>
    <customWorkbookView name="countif6" guid="{576A445C-3D9A-438D-AC68-B679E3D65634}" maximized="1" xWindow="-8" yWindow="-8" windowWidth="1382" windowHeight="744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<sst xmlns="http://schemas.openxmlformats.org/spreadsheetml/2006/main" count="260" uniqueCount="70">
  <si>
    <t>Fruit Name</t>
  </si>
  <si>
    <t>Price</t>
  </si>
  <si>
    <t>Vendor</t>
  </si>
  <si>
    <t xml:space="preserve"> Month</t>
  </si>
  <si>
    <t>Rounded Price</t>
  </si>
  <si>
    <t>Apple</t>
  </si>
  <si>
    <t>Amazon</t>
  </si>
  <si>
    <t>Jan</t>
  </si>
  <si>
    <t>Orange</t>
  </si>
  <si>
    <t>BigBasket</t>
  </si>
  <si>
    <t>Feb</t>
  </si>
  <si>
    <t>Kiwi</t>
  </si>
  <si>
    <t>Walmart</t>
  </si>
  <si>
    <t>Mar</t>
  </si>
  <si>
    <t>Pineapple</t>
  </si>
  <si>
    <t>Lyft</t>
  </si>
  <si>
    <t>Make the Price as Whole number. Without any decimals</t>
  </si>
  <si>
    <t>Grapes</t>
  </si>
  <si>
    <t>DoorDash</t>
  </si>
  <si>
    <t>Banana</t>
  </si>
  <si>
    <t>Google</t>
  </si>
  <si>
    <t>Month</t>
  </si>
  <si>
    <t>Round the Price to 1 decimal only</t>
  </si>
  <si>
    <t>Dress Type</t>
  </si>
  <si>
    <t>Dress Size</t>
  </si>
  <si>
    <t>Actual Price</t>
  </si>
  <si>
    <t>Nearest Higher 10 value</t>
  </si>
  <si>
    <t>Shirt</t>
  </si>
  <si>
    <t>S</t>
  </si>
  <si>
    <t>Pants</t>
  </si>
  <si>
    <t>M</t>
  </si>
  <si>
    <t>Round the value of the price to the nearest higher value in order of 10</t>
  </si>
  <si>
    <t>L</t>
  </si>
  <si>
    <t>Round Down Value</t>
  </si>
  <si>
    <t>Round the value of the price to the nearest lower  &amp; Higher value.</t>
  </si>
  <si>
    <t>Inflation Adjusted Price</t>
  </si>
  <si>
    <t>Round the value of the price to the nearest multiple values of 50</t>
  </si>
  <si>
    <t>Market Price</t>
  </si>
  <si>
    <t>Round the value of the price to the nearest multiple values of 5</t>
  </si>
  <si>
    <t>Profit Corrected Price</t>
  </si>
  <si>
    <t>Find the nearest higher value that is a multiple of 50</t>
  </si>
  <si>
    <t>Nearest Lower 50 value</t>
  </si>
  <si>
    <t>Find the nearest lower value that is a multiple of 25</t>
  </si>
  <si>
    <t>Rank</t>
  </si>
  <si>
    <t>Name</t>
  </si>
  <si>
    <t>Net Worth (B)</t>
  </si>
  <si>
    <t>LastChange</t>
  </si>
  <si>
    <t>YTDChange</t>
  </si>
  <si>
    <t>Country</t>
  </si>
  <si>
    <t>Change Type</t>
  </si>
  <si>
    <t xml:space="preserve">Elon Musk </t>
  </si>
  <si>
    <t>UnitedStates</t>
  </si>
  <si>
    <t xml:space="preserve">Jeff Bezos </t>
  </si>
  <si>
    <t xml:space="preserve">Bernard Arnault </t>
  </si>
  <si>
    <t>France</t>
  </si>
  <si>
    <t xml:space="preserve">Bill Gates </t>
  </si>
  <si>
    <t xml:space="preserve">Larry Page </t>
  </si>
  <si>
    <t xml:space="preserve">Sergey Brin </t>
  </si>
  <si>
    <r>
      <rPr>
        <b/>
        <sz val="12"/>
        <rFont val="Calibri"/>
        <charset val="134"/>
        <scheme val="minor"/>
      </rPr>
      <t xml:space="preserve">Logic1: 
</t>
    </r>
    <r>
      <rPr>
        <sz val="12"/>
        <rFont val="Calibri"/>
        <charset val="134"/>
        <scheme val="minor"/>
      </rPr>
      <t xml:space="preserve">If the networth is Less then 100, then get an output as "Multi Billionaire"
</t>
    </r>
    <r>
      <rPr>
        <b/>
        <sz val="12"/>
        <rFont val="Calibri"/>
        <charset val="134"/>
        <scheme val="minor"/>
      </rPr>
      <t xml:space="preserve">Logic 2:
</t>
    </r>
    <r>
      <rPr>
        <sz val="12"/>
        <rFont val="Calibri"/>
        <charset val="134"/>
        <scheme val="minor"/>
      </rPr>
      <t>If the networth is over 100, then get an output as "Centi Billionaire"</t>
    </r>
  </si>
  <si>
    <t xml:space="preserve">Mark Zuckerberg </t>
  </si>
  <si>
    <t xml:space="preserve">Steve Ballmer </t>
  </si>
  <si>
    <t xml:space="preserve">Larry Ellison </t>
  </si>
  <si>
    <t xml:space="preserve">Warren Buffett </t>
  </si>
  <si>
    <t xml:space="preserve">Mukesh Ambani </t>
  </si>
  <si>
    <t>India</t>
  </si>
  <si>
    <t>Francoise Bettencourt</t>
  </si>
  <si>
    <t xml:space="preserve">Gautam Adani </t>
  </si>
  <si>
    <t xml:space="preserve">Amancio Ortega </t>
  </si>
  <si>
    <t>Spain</t>
  </si>
  <si>
    <t xml:space="preserve">Jim Walton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</si>
</sst>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 "/>
  </numFmts>
  <fonts count="3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 tint="0.249977111117893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595959"/>
      <name val="Calibri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 readingOrder="1"/>
    </xf>
    <xf numFmtId="0" fontId="8" fillId="6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readingOrder="1"/>
    </xf>
    <xf numFmtId="0" fontId="6" fillId="0" borderId="0" xfId="0" applyFont="1"/>
    <xf numFmtId="180" fontId="7" fillId="0" borderId="1" xfId="0" applyNumberFormat="1" applyFont="1" applyBorder="1" applyAlignment="1">
      <alignment horizontal="center" vertical="center" readingOrder="1"/>
    </xf>
    <xf numFmtId="0" fontId="1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i val="0"/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0066FF99"/>
      <color rgb="00CCFFCC"/>
      <color rgb="00FFB48F"/>
      <color rgb="00FCF492"/>
      <color rgb="00FF97B7"/>
      <color rgb="00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ound!F4"/><Relationship Id="rId2" Type="http://schemas.openxmlformats.org/officeDocument/2006/relationships/hyperlink" Target="#'RUP, RDown &amp; MRound'!A1"/><Relationship Id="rId1" Type="http://schemas.openxmlformats.org/officeDocument/2006/relationships/hyperlink" Target="#Round!A3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MRound!A1"/><Relationship Id="rId2" Type="http://schemas.openxmlformats.org/officeDocument/2006/relationships/hyperlink" Target="#'RUP, RDown &amp; MRound'!A32"/><Relationship Id="rId1" Type="http://schemas.openxmlformats.org/officeDocument/2006/relationships/hyperlink" Target="#'RUP, RDown &amp; MRound'!F5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Floor &amp; Ceiling'!A1"/><Relationship Id="rId2" Type="http://schemas.openxmlformats.org/officeDocument/2006/relationships/hyperlink" Target="#MRound!A38"/><Relationship Id="rId1" Type="http://schemas.openxmlformats.org/officeDocument/2006/relationships/hyperlink" Target="#'RUP, RDown &amp; MRound'!F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Round!A1"/><Relationship Id="rId1" Type="http://schemas.openxmlformats.org/officeDocument/2006/relationships/hyperlink" Target="#'Floor &amp; Ceiling'!A32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920750</xdr:colOff>
      <xdr:row>13</xdr:row>
      <xdr:rowOff>15877</xdr:rowOff>
    </xdr:from>
    <xdr:to>
      <xdr:col>9</xdr:col>
      <xdr:colOff>1039812</xdr:colOff>
      <xdr:row>14</xdr:row>
      <xdr:rowOff>142877</xdr:rowOff>
    </xdr:to>
    <xdr:sp macro="[0]!Sheet1.sum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7803515" y="3111500"/>
          <a:ext cx="118618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 Example</a:t>
          </a:r>
          <a:endParaRPr lang="en-IN" sz="1000" b="1"/>
        </a:p>
      </xdr:txBody>
    </xdr:sp>
    <xdr:clientData/>
  </xdr:twoCellAnchor>
  <xdr:twoCellAnchor>
    <xdr:from>
      <xdr:col>9</xdr:col>
      <xdr:colOff>404813</xdr:colOff>
      <xdr:row>30</xdr:row>
      <xdr:rowOff>31749</xdr:rowOff>
    </xdr:from>
    <xdr:to>
      <xdr:col>11</xdr:col>
      <xdr:colOff>484188</xdr:colOff>
      <xdr:row>32</xdr:row>
      <xdr:rowOff>103188</xdr:rowOff>
    </xdr:to>
    <xdr:sp macro="[0]!Sheet4.averageif1">
      <xdr:nvSpPr>
        <xdr:cNvPr id="9" name="Rectangle: Rounded Corners 8">
          <a:hlinkClick xmlns:r="http://schemas.openxmlformats.org/officeDocument/2006/relationships" r:id="rId2"/>
        </xdr:cNvPr>
        <xdr:cNvSpPr/>
      </xdr:nvSpPr>
      <xdr:spPr>
        <a:xfrm>
          <a:off x="8354695" y="7124065"/>
          <a:ext cx="2034540" cy="54165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Other round</a:t>
          </a:r>
          <a:r>
            <a:rPr lang="en-IN" sz="1000" b="1" baseline="0"/>
            <a:t> </a:t>
          </a:r>
          <a:r>
            <a:rPr lang="en-US" sz="1000" b="1" baseline="0"/>
            <a:t>Functions</a:t>
          </a:r>
          <a:endParaRPr lang="en-IN" sz="1000" b="1"/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0</xdr:rowOff>
    </xdr:to>
    <xdr:sp macro="[0]!Sheet1.sumif1">
      <xdr:nvSpPr>
        <xdr:cNvPr id="5" name="Rectangle: Rounded Corners 4">
          <a:hlinkClick xmlns:r="http://schemas.openxmlformats.org/officeDocument/2006/relationships" r:id="rId3"/>
        </xdr:cNvPr>
        <xdr:cNvSpPr/>
      </xdr:nvSpPr>
      <xdr:spPr>
        <a:xfrm>
          <a:off x="55245" y="23495"/>
          <a:ext cx="894080" cy="211455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  <a:endParaRPr lang="en-IN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125157</xdr:colOff>
      <xdr:row>1</xdr:row>
      <xdr:rowOff>24888</xdr:rowOff>
    </xdr:to>
    <xdr:sp macro="[0]!Sheet20.roundup">
      <xdr:nvSpPr>
        <xdr:cNvPr id="2" name="Graphic 7" descr="Play">
          <a:hlinkClick xmlns:r="http://schemas.openxmlformats.org/officeDocument/2006/relationships" r:id="rId1"/>
        </xdr:cNvPr>
        <xdr:cNvSpPr/>
      </xdr:nvSpPr>
      <xdr:spPr>
        <a:xfrm>
          <a:off x="0" y="0"/>
          <a:ext cx="753745" cy="20891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357186</xdr:colOff>
      <xdr:row>12</xdr:row>
      <xdr:rowOff>222252</xdr:rowOff>
    </xdr:to>
    <xdr:sp macro="[0]!Sheet20.rounddown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9198610" y="2670175"/>
          <a:ext cx="905510" cy="2222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  <a:endParaRPr lang="en-IN" sz="1000" b="1"/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12</xdr:col>
      <xdr:colOff>357186</xdr:colOff>
      <xdr:row>27</xdr:row>
      <xdr:rowOff>222252</xdr:rowOff>
    </xdr:to>
    <xdr:sp macro="[0]!Sheet20.mround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9198610" y="5994400"/>
          <a:ext cx="905510" cy="2222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</a:t>
          </a:r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Next</a:t>
          </a:r>
          <a:endParaRPr lang="en-IN" sz="1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125157</xdr:colOff>
      <xdr:row>1</xdr:row>
      <xdr:rowOff>24888</xdr:rowOff>
    </xdr:to>
    <xdr:sp macro="[0]!Sheet20.roundup">
      <xdr:nvSpPr>
        <xdr:cNvPr id="2" name="Graphic 7" descr="Play">
          <a:hlinkClick xmlns:r="http://schemas.openxmlformats.org/officeDocument/2006/relationships" r:id="rId1"/>
        </xdr:cNvPr>
        <xdr:cNvSpPr/>
      </xdr:nvSpPr>
      <xdr:spPr>
        <a:xfrm>
          <a:off x="0" y="0"/>
          <a:ext cx="753745" cy="20891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  <xdr:twoCellAnchor>
    <xdr:from>
      <xdr:col>10</xdr:col>
      <xdr:colOff>381000</xdr:colOff>
      <xdr:row>14</xdr:row>
      <xdr:rowOff>142875</xdr:rowOff>
    </xdr:from>
    <xdr:to>
      <xdr:col>12</xdr:col>
      <xdr:colOff>261936</xdr:colOff>
      <xdr:row>15</xdr:row>
      <xdr:rowOff>174627</xdr:rowOff>
    </xdr:to>
    <xdr:sp macro="[0]!Sheet11.ceiling">
      <xdr:nvSpPr>
        <xdr:cNvPr id="5" name="Rectangle: Rounded Corners 4">
          <a:hlinkClick xmlns:r="http://schemas.openxmlformats.org/officeDocument/2006/relationships" r:id="rId2"/>
        </xdr:cNvPr>
        <xdr:cNvSpPr/>
      </xdr:nvSpPr>
      <xdr:spPr>
        <a:xfrm>
          <a:off x="8831580" y="3228975"/>
          <a:ext cx="927735" cy="2159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  <a:endParaRPr lang="en-IN" sz="1000" b="1"/>
        </a:p>
      </xdr:txBody>
    </xdr:sp>
    <xdr:clientData/>
  </xdr:twoCellAnchor>
  <xdr:twoCellAnchor>
    <xdr:from>
      <xdr:col>10</xdr:col>
      <xdr:colOff>0</xdr:colOff>
      <xdr:row>35</xdr:row>
      <xdr:rowOff>0</xdr:rowOff>
    </xdr:from>
    <xdr:to>
      <xdr:col>11</xdr:col>
      <xdr:colOff>404811</xdr:colOff>
      <xdr:row>36</xdr:row>
      <xdr:rowOff>31752</xdr:rowOff>
    </xdr:to>
    <xdr:sp macro="[0]!Sheet11.ceiling">
      <xdr:nvSpPr>
        <xdr:cNvPr id="6" name="Rectangle: Rounded Corners 5">
          <a:hlinkClick xmlns:r="http://schemas.openxmlformats.org/officeDocument/2006/relationships" r:id="rId3"/>
        </xdr:cNvPr>
        <xdr:cNvSpPr/>
      </xdr:nvSpPr>
      <xdr:spPr>
        <a:xfrm>
          <a:off x="8450580" y="7461250"/>
          <a:ext cx="902970" cy="2159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  <a:endParaRPr lang="en-IN" sz="10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125157</xdr:colOff>
      <xdr:row>1</xdr:row>
      <xdr:rowOff>24888</xdr:rowOff>
    </xdr:to>
    <xdr:sp macro="[0]!Sheet11.ceiling">
      <xdr:nvSpPr>
        <xdr:cNvPr id="2" name="Graphic 7" descr="Play"/>
        <xdr:cNvSpPr/>
      </xdr:nvSpPr>
      <xdr:spPr>
        <a:xfrm>
          <a:off x="0" y="0"/>
          <a:ext cx="753745" cy="20891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  <xdr:twoCellAnchor>
    <xdr:from>
      <xdr:col>10</xdr:col>
      <xdr:colOff>238125</xdr:colOff>
      <xdr:row>12</xdr:row>
      <xdr:rowOff>7937</xdr:rowOff>
    </xdr:from>
    <xdr:to>
      <xdr:col>11</xdr:col>
      <xdr:colOff>595311</xdr:colOff>
      <xdr:row>12</xdr:row>
      <xdr:rowOff>230189</xdr:rowOff>
    </xdr:to>
    <xdr:sp macro="[0]!Sheet11.floor">
      <xdr:nvSpPr>
        <xdr:cNvPr id="3" name="Rectangle: Rounded Corners 2">
          <a:hlinkClick xmlns:r="http://schemas.openxmlformats.org/officeDocument/2006/relationships" r:id="rId1"/>
        </xdr:cNvPr>
        <xdr:cNvSpPr/>
      </xdr:nvSpPr>
      <xdr:spPr>
        <a:xfrm>
          <a:off x="8789035" y="2677795"/>
          <a:ext cx="985520" cy="2222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  <a:endParaRPr lang="en-IN" sz="1000" b="1"/>
        </a:p>
      </xdr:txBody>
    </xdr:sp>
    <xdr:clientData/>
  </xdr:twoCellAnchor>
  <xdr:twoCellAnchor>
    <xdr:from>
      <xdr:col>10</xdr:col>
      <xdr:colOff>317500</xdr:colOff>
      <xdr:row>28</xdr:row>
      <xdr:rowOff>25400</xdr:rowOff>
    </xdr:from>
    <xdr:to>
      <xdr:col>12</xdr:col>
      <xdr:colOff>327024</xdr:colOff>
      <xdr:row>29</xdr:row>
      <xdr:rowOff>57152</xdr:rowOff>
    </xdr:to>
    <xdr:sp macro="[0]!Sheet19.if1">
      <xdr:nvSpPr>
        <xdr:cNvPr id="4" name="Rectangle: Rounded Corners 3">
          <a:hlinkClick xmlns:r="http://schemas.openxmlformats.org/officeDocument/2006/relationships" r:id="rId2"/>
        </xdr:cNvPr>
        <xdr:cNvSpPr/>
      </xdr:nvSpPr>
      <xdr:spPr>
        <a:xfrm>
          <a:off x="8868410" y="6203950"/>
          <a:ext cx="1266190" cy="2159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Home</a:t>
          </a:r>
          <a:endParaRPr lang="en-IN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autoPageBreaks="0"/>
  </sheetPr>
  <dimension ref="B3:M31"/>
  <sheetViews>
    <sheetView showGridLines="0" topLeftCell="A27" workbookViewId="0">
      <selection activeCell="H27" sqref="H27"/>
    </sheetView>
  </sheetViews>
  <sheetFormatPr defaultColWidth="9" defaultRowHeight="18.5"/>
  <cols>
    <col min="1" max="1" width="8.70909090909091" style="14" customWidth="1"/>
    <col min="2" max="2" width="17.1363636363636" style="14" customWidth="1"/>
    <col min="3" max="3" width="8.28181818181818" style="14" customWidth="1"/>
    <col min="4" max="4" width="13.8545454545455" style="14" customWidth="1"/>
    <col min="5" max="5" width="10.1363636363636" style="14" customWidth="1"/>
    <col min="6" max="6" width="17.2818181818182" style="14" customWidth="1"/>
    <col min="7" max="7" width="9.13636363636364" style="14"/>
    <col min="8" max="8" width="14" style="14" customWidth="1"/>
    <col min="9" max="9" width="15.2818181818182" style="14" customWidth="1"/>
    <col min="10" max="10" width="18.8545454545455" style="14" customWidth="1"/>
    <col min="11" max="16384" width="9.13636363636364" style="14"/>
  </cols>
  <sheetData>
    <row r="3" spans="2:13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</row>
    <row r="4" spans="2:13">
      <c r="B4" s="9" t="s">
        <v>5</v>
      </c>
      <c r="C4" s="9">
        <v>7.85</v>
      </c>
      <c r="D4" s="9" t="s">
        <v>6</v>
      </c>
      <c r="E4" s="9" t="s">
        <v>7</v>
      </c>
      <c r="F4" s="15">
        <f>ROUND(C4,1)</f>
        <v>7.9</v>
      </c>
    </row>
    <row r="5" ht="18.75" customHeight="1" spans="2:13">
      <c r="B5" s="9" t="s">
        <v>8</v>
      </c>
      <c r="C5" s="9">
        <v>3.25</v>
      </c>
      <c r="D5" s="9" t="s">
        <v>9</v>
      </c>
      <c r="E5" s="9" t="s">
        <v>10</v>
      </c>
      <c r="F5" s="15">
        <f t="shared" ref="F5:F15" si="0">ROUND(C5,1)</f>
        <v>3.3</v>
      </c>
    </row>
    <row r="6" ht="21" customHeight="1" spans="2:13">
      <c r="B6" s="9" t="s">
        <v>11</v>
      </c>
      <c r="C6" s="9">
        <v>12.5</v>
      </c>
      <c r="D6" s="9" t="s">
        <v>12</v>
      </c>
      <c r="E6" s="9" t="s">
        <v>13</v>
      </c>
      <c r="F6" s="15">
        <f t="shared" si="0"/>
        <v>12.5</v>
      </c>
    </row>
    <row r="7" ht="18.75" customHeight="1" spans="2:13">
      <c r="B7" s="9" t="s">
        <v>14</v>
      </c>
      <c r="C7" s="9">
        <v>6.35</v>
      </c>
      <c r="D7" s="9" t="s">
        <v>15</v>
      </c>
      <c r="E7" s="9" t="s">
        <v>7</v>
      </c>
      <c r="F7" s="15">
        <f t="shared" si="0"/>
        <v>6.4</v>
      </c>
      <c r="H7" s="11" t="s">
        <v>16</v>
      </c>
      <c r="I7" s="11"/>
      <c r="J7" s="11"/>
      <c r="M7" s="16">
        <f>SUMIF(E4:E15,"Mar",C4:C15)</f>
        <v>41.8</v>
      </c>
    </row>
    <row r="8" spans="2:13">
      <c r="B8" s="9" t="s">
        <v>17</v>
      </c>
      <c r="C8" s="9">
        <v>2.5</v>
      </c>
      <c r="D8" s="9" t="s">
        <v>18</v>
      </c>
      <c r="E8" s="9" t="s">
        <v>10</v>
      </c>
      <c r="F8" s="15">
        <f t="shared" si="0"/>
        <v>2.5</v>
      </c>
      <c r="H8" s="11"/>
      <c r="I8" s="11"/>
      <c r="J8" s="11"/>
    </row>
    <row r="9" spans="2:13">
      <c r="B9" s="9" t="s">
        <v>19</v>
      </c>
      <c r="C9" s="9">
        <v>6.5</v>
      </c>
      <c r="D9" s="9" t="s">
        <v>20</v>
      </c>
      <c r="E9" s="9" t="s">
        <v>13</v>
      </c>
      <c r="F9" s="15">
        <f t="shared" si="0"/>
        <v>6.5</v>
      </c>
    </row>
    <row r="10" spans="2:13">
      <c r="B10" s="9" t="s">
        <v>5</v>
      </c>
      <c r="C10" s="9">
        <v>8.75</v>
      </c>
      <c r="D10" s="9" t="s">
        <v>6</v>
      </c>
      <c r="E10" s="9" t="s">
        <v>7</v>
      </c>
      <c r="F10" s="15">
        <f t="shared" si="0"/>
        <v>8.8</v>
      </c>
    </row>
    <row r="11" spans="2:13">
      <c r="B11" s="9" t="s">
        <v>14</v>
      </c>
      <c r="C11" s="9">
        <v>4.65</v>
      </c>
      <c r="D11" s="9" t="s">
        <v>15</v>
      </c>
      <c r="E11" s="9" t="s">
        <v>10</v>
      </c>
      <c r="F11" s="15">
        <f t="shared" si="0"/>
        <v>4.7</v>
      </c>
    </row>
    <row r="12" spans="2:13">
      <c r="B12" s="9" t="s">
        <v>5</v>
      </c>
      <c r="C12" s="9">
        <v>12.85</v>
      </c>
      <c r="D12" s="9" t="s">
        <v>6</v>
      </c>
      <c r="E12" s="9" t="s">
        <v>13</v>
      </c>
      <c r="F12" s="15">
        <f t="shared" si="0"/>
        <v>12.9</v>
      </c>
    </row>
    <row r="13" ht="18.75" customHeight="1" spans="2:13">
      <c r="B13" s="9" t="s">
        <v>8</v>
      </c>
      <c r="C13" s="9">
        <v>8.25</v>
      </c>
      <c r="D13" s="9" t="s">
        <v>9</v>
      </c>
      <c r="E13" s="9" t="s">
        <v>7</v>
      </c>
      <c r="F13" s="15">
        <f t="shared" si="0"/>
        <v>8.3</v>
      </c>
    </row>
    <row r="14" spans="2:13">
      <c r="B14" s="9" t="s">
        <v>11</v>
      </c>
      <c r="C14" s="9">
        <v>13.5</v>
      </c>
      <c r="D14" s="9" t="s">
        <v>12</v>
      </c>
      <c r="E14" s="9" t="s">
        <v>10</v>
      </c>
      <c r="F14" s="15">
        <f t="shared" si="0"/>
        <v>13.5</v>
      </c>
    </row>
    <row r="15" spans="2:13">
      <c r="B15" s="9" t="s">
        <v>14</v>
      </c>
      <c r="C15" s="9">
        <v>9.95</v>
      </c>
      <c r="D15" s="9" t="s">
        <v>15</v>
      </c>
      <c r="E15" s="9" t="s">
        <v>13</v>
      </c>
      <c r="F15" s="15">
        <f t="shared" si="0"/>
        <v>10</v>
      </c>
    </row>
    <row r="19" spans="2:13">
      <c r="B19" s="8" t="s">
        <v>0</v>
      </c>
      <c r="C19" s="8" t="s">
        <v>1</v>
      </c>
      <c r="D19" s="8" t="s">
        <v>2</v>
      </c>
      <c r="E19" s="8" t="s">
        <v>21</v>
      </c>
      <c r="F19" s="8" t="s">
        <v>4</v>
      </c>
    </row>
    <row r="20" spans="2:13">
      <c r="B20" s="9" t="s">
        <v>5</v>
      </c>
      <c r="C20" s="9">
        <v>7.85</v>
      </c>
      <c r="D20" s="9" t="s">
        <v>6</v>
      </c>
      <c r="E20" s="9" t="s">
        <v>7</v>
      </c>
      <c r="F20" s="9">
        <f>ROUND(C20,0)</f>
        <v>8</v>
      </c>
    </row>
    <row r="21" spans="2:13">
      <c r="B21" s="9" t="s">
        <v>8</v>
      </c>
      <c r="C21" s="9">
        <v>3.25</v>
      </c>
      <c r="D21" s="9" t="s">
        <v>9</v>
      </c>
      <c r="E21" s="9" t="s">
        <v>10</v>
      </c>
      <c r="F21" s="9">
        <f t="shared" ref="F21:F31" si="1">ROUND(C21,0)</f>
        <v>3</v>
      </c>
    </row>
    <row r="22" spans="2:13">
      <c r="B22" s="9" t="s">
        <v>11</v>
      </c>
      <c r="C22" s="9">
        <v>12.5</v>
      </c>
      <c r="D22" s="9" t="s">
        <v>12</v>
      </c>
      <c r="E22" s="9" t="s">
        <v>13</v>
      </c>
      <c r="F22" s="9">
        <f t="shared" si="1"/>
        <v>13</v>
      </c>
    </row>
    <row r="23" ht="18.75" customHeight="1" spans="2:13">
      <c r="B23" s="9" t="s">
        <v>14</v>
      </c>
      <c r="C23" s="9">
        <v>6.35</v>
      </c>
      <c r="D23" s="9" t="s">
        <v>15</v>
      </c>
      <c r="E23" s="9" t="s">
        <v>7</v>
      </c>
      <c r="F23" s="9">
        <f t="shared" si="1"/>
        <v>6</v>
      </c>
      <c r="H23" s="11" t="s">
        <v>22</v>
      </c>
      <c r="I23" s="11"/>
      <c r="J23" s="11"/>
      <c r="M23" s="16">
        <f>SUMIF(D20:D31,"Amazon",C20:C31)</f>
        <v>29.45</v>
      </c>
    </row>
    <row r="24" spans="2:13">
      <c r="B24" s="9" t="s">
        <v>17</v>
      </c>
      <c r="C24" s="9">
        <v>2.5</v>
      </c>
      <c r="D24" s="9" t="s">
        <v>18</v>
      </c>
      <c r="E24" s="9" t="s">
        <v>10</v>
      </c>
      <c r="F24" s="9">
        <f t="shared" si="1"/>
        <v>3</v>
      </c>
      <c r="H24" s="11"/>
      <c r="I24" s="11"/>
      <c r="J24" s="11"/>
    </row>
    <row r="25" spans="2:13">
      <c r="B25" s="9" t="s">
        <v>19</v>
      </c>
      <c r="C25" s="9">
        <v>6.5</v>
      </c>
      <c r="D25" s="9" t="s">
        <v>20</v>
      </c>
      <c r="E25" s="9" t="s">
        <v>13</v>
      </c>
      <c r="F25" s="9">
        <f t="shared" si="1"/>
        <v>7</v>
      </c>
    </row>
    <row r="26" spans="2:13">
      <c r="B26" s="9" t="s">
        <v>5</v>
      </c>
      <c r="C26" s="9">
        <v>8.75</v>
      </c>
      <c r="D26" s="9" t="s">
        <v>6</v>
      </c>
      <c r="E26" s="9" t="s">
        <v>7</v>
      </c>
      <c r="F26" s="9">
        <f t="shared" si="1"/>
        <v>9</v>
      </c>
    </row>
    <row r="27" spans="2:13">
      <c r="B27" s="9" t="s">
        <v>14</v>
      </c>
      <c r="C27" s="9">
        <v>4.65</v>
      </c>
      <c r="D27" s="9" t="s">
        <v>15</v>
      </c>
      <c r="E27" s="9" t="s">
        <v>10</v>
      </c>
      <c r="F27" s="9">
        <f t="shared" si="1"/>
        <v>5</v>
      </c>
    </row>
    <row r="28" spans="2:13">
      <c r="B28" s="9" t="s">
        <v>5</v>
      </c>
      <c r="C28" s="9">
        <v>12.85</v>
      </c>
      <c r="D28" s="9" t="s">
        <v>6</v>
      </c>
      <c r="E28" s="9" t="s">
        <v>13</v>
      </c>
      <c r="F28" s="9">
        <f t="shared" si="1"/>
        <v>13</v>
      </c>
    </row>
    <row r="29" spans="2:13">
      <c r="B29" s="9" t="s">
        <v>8</v>
      </c>
      <c r="C29" s="9">
        <v>8.25</v>
      </c>
      <c r="D29" s="9" t="s">
        <v>9</v>
      </c>
      <c r="E29" s="9" t="s">
        <v>7</v>
      </c>
      <c r="F29" s="9">
        <f t="shared" si="1"/>
        <v>8</v>
      </c>
    </row>
    <row r="30" spans="2:13">
      <c r="B30" s="9" t="s">
        <v>11</v>
      </c>
      <c r="C30" s="9">
        <v>13.5</v>
      </c>
      <c r="D30" s="9" t="s">
        <v>12</v>
      </c>
      <c r="E30" s="9" t="s">
        <v>10</v>
      </c>
      <c r="F30" s="9">
        <f t="shared" si="1"/>
        <v>14</v>
      </c>
    </row>
    <row r="31" spans="2:13">
      <c r="B31" s="9" t="s">
        <v>14</v>
      </c>
      <c r="C31" s="9">
        <v>9.95</v>
      </c>
      <c r="D31" s="9" t="s">
        <v>15</v>
      </c>
      <c r="E31" s="9" t="s">
        <v>13</v>
      </c>
      <c r="F31" s="9">
        <f t="shared" si="1"/>
        <v>10</v>
      </c>
    </row>
  </sheetData>
  <customSheetViews>
    <customSheetView guid="{86D36E03-787A-41EB-85FF-8BB8A222055B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125BE01-BBC8-4E5A-9A9A-3D1257916B8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7A9AB605-DB82-470C-B86B-95E2AB3523F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C8D231F-57F9-45EE-9DEF-D7ED111600EB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395DC3D6-3299-4A43-88E2-62703FCC034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C8F4C13-387F-42D2-8CB5-92C4886D791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8A25BF65-C908-4B2F-9805-3CD39BD4330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9A03991-7A83-41AE-B603-3D22265CDA2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EB5A49F-F7F7-412A-BE72-F90F7A4799C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518ECB9-5D92-41E0-BFD2-C5175A02444D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BCAB4838-A37A-4BCF-A9C9-CC50C95F58C7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1A67331-473F-4161-806C-BE35870C93B5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C562453-1E6B-4010-9E1B-775397A26EFA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44A6A80-0D34-48F6-A071-17016DCD2D6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65059E8-30E8-488B-A0E9-1B7961920C8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95D39BA8-2B16-4954-ABAC-09AD33A8633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25A4A7C0-9593-456C-861C-76D101D3FE9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1BA8A3D-4711-49ED-89E2-EBC09DF2AED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29A478C-29B1-4F25-A016-63CE32A1627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789A6E6-3D06-4D93-BF02-46FA1A2548B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15D7A002-B247-4A6B-A16B-61BDD9B0066A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9AFCAA87-4888-4976-A7C9-C06A34CB6C97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4FF7DB9-14DF-49DB-9F59-1898DDED4DC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C7537C6-1678-41C1-B788-EF4AFFECF76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1920E7A3-1C9F-4320-81BB-D11544051025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2D27969-4CD1-473E-A0E8-856AB0664DE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422703F6-63C4-435C-AFE7-1030286678F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3CB97AD-592C-4B6E-8AE3-1CD47479060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19DA6E7F-8950-4769-9BBE-2798EFA465A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47C01131-7443-4080-A2BB-6B6AA35C691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7330417-67A9-44CF-917F-5F5E2F191AD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BA5E9C4-A2DB-4DF0-BF75-1243E968318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7A7FC9A5-F2B5-4894-82BC-4528575F10D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194C141-D0A1-4D58-BA55-90A184525AC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A5292A6B-6F92-4AB3-B051-EF87F39FC48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090DFAD-A23A-4678-87F2-095D84EBDDE8}" scale="120" showGridLines="0" topLeftCell="A3">
      <selection activeCell="A2" sqref="A2"/>
      <pageMargins left="0.7" right="0.7" top="0.75" bottom="0.75" header="0.3" footer="0.3"/>
      <pageSetup paperSize="1" orientation="portrait"/>
      <headerFooter/>
    </customSheetView>
    <customSheetView guid="{4F11E31F-E14C-416D-BB97-C8CE74658FBE}" scale="120" showGridLines="0" topLeftCell="A19">
      <selection activeCell="I21" sqref="I21"/>
      <pageMargins left="0.7" right="0.7" top="0.75" bottom="0.75" header="0.3" footer="0.3"/>
      <pageSetup paperSize="1" orientation="portrait"/>
      <headerFooter/>
    </customSheetView>
    <customSheetView guid="{F2A17A28-A3DF-492D-BAE9-AAEF2A13397B}" scale="120" showGridLines="0" topLeftCell="A36">
      <selection activeCell="C38" sqref="C38"/>
      <pageMargins left="0.7" right="0.7" top="0.75" bottom="0.75" header="0.3" footer="0.3"/>
      <pageSetup paperSize="1" orientation="portrait"/>
      <headerFooter/>
    </customSheetView>
    <customSheetView guid="{8F332A92-7271-4FEC-B085-C15AA232FE21}" scale="120" showGridLines="0" topLeftCell="A73">
      <selection activeCell="B74" sqref="B74"/>
      <pageMargins left="0.7" right="0.7" top="0.75" bottom="0.75" header="0.3" footer="0.3"/>
      <pageSetup paperSize="1" orientation="portrait"/>
      <headerFooter/>
    </customSheetView>
    <customSheetView guid="{6B1EB7F4-EF59-450E-A531-475C3A6E6150}" scale="120" showGridLines="0" topLeftCell="A89">
      <selection activeCell="H83" sqref="H83"/>
      <pageMargins left="0.7" right="0.7" top="0.75" bottom="0.75" header="0.3" footer="0.3"/>
      <pageSetup paperSize="1" orientation="portrait"/>
      <headerFooter/>
    </customSheetView>
    <customSheetView guid="{8EBF087E-11C5-42EE-B564-FAEE72C86C17}" scale="120" showGridLines="0" topLeftCell="A105">
      <selection activeCell="B91" sqref="B91"/>
      <pageMargins left="0.7" right="0.7" top="0.75" bottom="0.75" header="0.3" footer="0.3"/>
      <pageSetup paperSize="1" orientation="portrait"/>
      <headerFooter/>
    </customSheetView>
    <customSheetView guid="{F716839F-5448-40FC-95BC-286199FD676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712F22D-DF79-4936-B86B-186E637372B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72B3D91-11D6-418C-A856-9FF74CE5E6FB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B4753E1-B7DC-40C2-A28F-B07A6CB075F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F2006E2-DE9B-4938-AD6F-8255BE7D529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BFB30CE-F6D9-44B3-99BA-62858BF4660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3977DAC-58A9-43A5-A2CD-037AE84A393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18774DE-EF27-4708-91D7-FE2A7EE4C99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102CDDA-1DB7-4BD5-8A8F-CD564048559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A3C7F73E-8288-4122-801A-9A426BB0DFB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1FEC2CE-0AE0-4F12-8438-BD3D230D383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76A445C-3D9A-438D-AC68-B679E3D6563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</customSheetViews>
  <mergeCells count="2">
    <mergeCell ref="H7:J8"/>
    <mergeCell ref="H23:J24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C4:M28"/>
  <sheetViews>
    <sheetView showGridLines="0" topLeftCell="A16" workbookViewId="0">
      <selection activeCell="G21" sqref="G21"/>
    </sheetView>
  </sheetViews>
  <sheetFormatPr defaultColWidth="9" defaultRowHeight="14.5"/>
  <cols>
    <col min="2" max="2" width="5.13636363636364" customWidth="1"/>
    <col min="3" max="3" width="13.5727272727273" customWidth="1"/>
    <col min="4" max="4" width="12.4272727272727" customWidth="1"/>
    <col min="5" max="5" width="14.2818181818182" customWidth="1"/>
    <col min="6" max="6" width="28.1363636363636" customWidth="1"/>
    <col min="7" max="7" width="18.5727272727273" customWidth="1"/>
    <col min="8" max="8" width="7" customWidth="1"/>
    <col min="10" max="10" width="7.42727272727273" customWidth="1"/>
    <col min="11" max="11" width="7.13636363636364" customWidth="1"/>
    <col min="12" max="12" width="7.85454545454545" customWidth="1"/>
    <col min="13" max="13" width="8" customWidth="1"/>
  </cols>
  <sheetData>
    <row r="4" ht="18.5" spans="3:13">
      <c r="C4" s="8" t="s">
        <v>23</v>
      </c>
      <c r="D4" s="8" t="s">
        <v>24</v>
      </c>
      <c r="E4" s="8" t="s">
        <v>25</v>
      </c>
      <c r="F4" s="8" t="s">
        <v>26</v>
      </c>
    </row>
    <row r="5" ht="18.5" spans="3:13">
      <c r="C5" s="9" t="s">
        <v>27</v>
      </c>
      <c r="D5" s="9" t="s">
        <v>28</v>
      </c>
      <c r="E5" s="9">
        <v>787.8569</v>
      </c>
      <c r="F5" s="9">
        <f>ROUND(E5,-1)</f>
        <v>790</v>
      </c>
    </row>
    <row r="6" ht="18.5" spans="3:13">
      <c r="C6" s="9" t="s">
        <v>29</v>
      </c>
      <c r="D6" s="9" t="s">
        <v>28</v>
      </c>
      <c r="E6" s="9">
        <v>457.2344</v>
      </c>
      <c r="F6" s="9">
        <f t="shared" ref="F6:F13" si="0">ROUND(E6,-1)</f>
        <v>460</v>
      </c>
    </row>
    <row r="7" ht="18.75" customHeight="1" spans="3:13">
      <c r="C7" s="9" t="s">
        <v>27</v>
      </c>
      <c r="D7" s="9" t="s">
        <v>30</v>
      </c>
      <c r="E7" s="9">
        <v>411.3445</v>
      </c>
      <c r="F7" s="9">
        <f t="shared" si="0"/>
        <v>410</v>
      </c>
      <c r="I7" s="12" t="s">
        <v>31</v>
      </c>
      <c r="J7" s="12"/>
      <c r="K7" s="12"/>
      <c r="L7" s="12"/>
      <c r="M7" s="12"/>
    </row>
    <row r="8" ht="18.5" spans="3:13">
      <c r="C8" s="9" t="s">
        <v>29</v>
      </c>
      <c r="D8" s="9" t="s">
        <v>30</v>
      </c>
      <c r="E8" s="9">
        <v>506.122</v>
      </c>
      <c r="F8" s="9">
        <f t="shared" si="0"/>
        <v>510</v>
      </c>
      <c r="I8" s="12"/>
      <c r="J8" s="12"/>
      <c r="K8" s="12"/>
      <c r="L8" s="12"/>
      <c r="M8" s="12"/>
    </row>
    <row r="9" ht="18.5" spans="3:13">
      <c r="C9" s="9" t="s">
        <v>27</v>
      </c>
      <c r="D9" s="9" t="s">
        <v>32</v>
      </c>
      <c r="E9" s="9">
        <v>370.3321</v>
      </c>
      <c r="F9" s="9">
        <f t="shared" si="0"/>
        <v>370</v>
      </c>
      <c r="I9" s="12"/>
      <c r="J9" s="12"/>
      <c r="K9" s="12"/>
      <c r="L9" s="12"/>
      <c r="M9" s="12"/>
    </row>
    <row r="10" ht="18.5" spans="3:13">
      <c r="C10" s="9" t="s">
        <v>29</v>
      </c>
      <c r="D10" s="9" t="s">
        <v>32</v>
      </c>
      <c r="E10" s="9">
        <v>713.8989</v>
      </c>
      <c r="F10" s="9">
        <f t="shared" si="0"/>
        <v>710</v>
      </c>
    </row>
    <row r="11" ht="18.5" spans="3:13">
      <c r="C11" s="9" t="s">
        <v>27</v>
      </c>
      <c r="D11" s="9" t="s">
        <v>28</v>
      </c>
      <c r="E11" s="9">
        <v>346.4576</v>
      </c>
      <c r="F11" s="9">
        <f t="shared" si="0"/>
        <v>350</v>
      </c>
    </row>
    <row r="12" ht="18.5" spans="3:13">
      <c r="C12" s="9" t="s">
        <v>29</v>
      </c>
      <c r="D12" s="9" t="s">
        <v>30</v>
      </c>
      <c r="E12" s="9">
        <v>691.64987</v>
      </c>
      <c r="F12" s="9">
        <f t="shared" si="0"/>
        <v>690</v>
      </c>
    </row>
    <row r="13" ht="18.5" spans="3:13">
      <c r="C13" s="9" t="s">
        <v>29</v>
      </c>
      <c r="D13" s="9" t="s">
        <v>32</v>
      </c>
      <c r="E13" s="9">
        <v>461.554669</v>
      </c>
      <c r="F13" s="9">
        <f t="shared" si="0"/>
        <v>460</v>
      </c>
    </row>
    <row r="15" ht="18.5" spans="3:13">
      <c r="E15" s="13"/>
    </row>
    <row r="19" ht="18.5" spans="3:13">
      <c r="C19" s="8" t="s">
        <v>23</v>
      </c>
      <c r="D19" s="8" t="s">
        <v>24</v>
      </c>
      <c r="E19" s="8" t="s">
        <v>25</v>
      </c>
      <c r="F19" s="8" t="s">
        <v>33</v>
      </c>
    </row>
    <row r="20" ht="18.5" spans="3:13">
      <c r="C20" s="9" t="s">
        <v>27</v>
      </c>
      <c r="D20" s="9" t="s">
        <v>28</v>
      </c>
      <c r="E20" s="9">
        <v>787.8569</v>
      </c>
      <c r="F20" s="9">
        <f>ROUNDDOWN(E20,-1)</f>
        <v>780</v>
      </c>
      <c r="H20" s="13"/>
    </row>
    <row r="21" ht="18.5" spans="3:13">
      <c r="C21" s="9" t="s">
        <v>29</v>
      </c>
      <c r="D21" s="9" t="s">
        <v>28</v>
      </c>
      <c r="E21" s="9">
        <v>457.2344</v>
      </c>
      <c r="F21" s="9">
        <f t="shared" ref="F21:F28" si="1">ROUNDDOWN(E21,-1)</f>
        <v>450</v>
      </c>
      <c r="H21" s="13"/>
    </row>
    <row r="22" ht="18.75" customHeight="1" spans="3:13">
      <c r="C22" s="9" t="s">
        <v>27</v>
      </c>
      <c r="D22" s="9" t="s">
        <v>30</v>
      </c>
      <c r="E22" s="9">
        <v>411.3445</v>
      </c>
      <c r="F22" s="9">
        <f t="shared" si="1"/>
        <v>410</v>
      </c>
      <c r="H22" s="13"/>
      <c r="I22" s="12" t="s">
        <v>34</v>
      </c>
      <c r="J22" s="12"/>
      <c r="K22" s="12"/>
      <c r="L22" s="12"/>
      <c r="M22" s="12"/>
    </row>
    <row r="23" ht="18.5" spans="3:13">
      <c r="C23" s="9" t="s">
        <v>29</v>
      </c>
      <c r="D23" s="9" t="s">
        <v>30</v>
      </c>
      <c r="E23" s="9">
        <v>506.122</v>
      </c>
      <c r="F23" s="9">
        <f t="shared" si="1"/>
        <v>500</v>
      </c>
      <c r="H23" s="13"/>
      <c r="I23" s="12"/>
      <c r="J23" s="12"/>
      <c r="K23" s="12"/>
      <c r="L23" s="12"/>
      <c r="M23" s="12"/>
    </row>
    <row r="24" ht="18.5" spans="3:13">
      <c r="C24" s="9" t="s">
        <v>27</v>
      </c>
      <c r="D24" s="9" t="s">
        <v>32</v>
      </c>
      <c r="E24" s="9">
        <v>370.3321</v>
      </c>
      <c r="F24" s="9">
        <f t="shared" si="1"/>
        <v>370</v>
      </c>
      <c r="H24" s="13"/>
      <c r="I24" s="12"/>
      <c r="J24" s="12"/>
      <c r="K24" s="12"/>
      <c r="L24" s="12"/>
      <c r="M24" s="12"/>
    </row>
    <row r="25" ht="18.5" spans="3:13">
      <c r="C25" s="9" t="s">
        <v>29</v>
      </c>
      <c r="D25" s="9" t="s">
        <v>32</v>
      </c>
      <c r="E25" s="9">
        <v>713.8989</v>
      </c>
      <c r="F25" s="9">
        <f t="shared" si="1"/>
        <v>710</v>
      </c>
      <c r="H25" s="13"/>
    </row>
    <row r="26" ht="18.5" spans="3:13">
      <c r="C26" s="9" t="s">
        <v>27</v>
      </c>
      <c r="D26" s="9" t="s">
        <v>28</v>
      </c>
      <c r="E26" s="9">
        <v>346.4576</v>
      </c>
      <c r="F26" s="9">
        <f t="shared" si="1"/>
        <v>340</v>
      </c>
      <c r="H26" s="13"/>
    </row>
    <row r="27" ht="18.5" spans="3:13">
      <c r="C27" s="9" t="s">
        <v>29</v>
      </c>
      <c r="D27" s="9" t="s">
        <v>30</v>
      </c>
      <c r="E27" s="9">
        <v>691.64987</v>
      </c>
      <c r="F27" s="9">
        <f t="shared" si="1"/>
        <v>690</v>
      </c>
      <c r="H27" s="13"/>
    </row>
    <row r="28" ht="18.5" spans="3:13">
      <c r="C28" s="9" t="s">
        <v>29</v>
      </c>
      <c r="D28" s="9" t="s">
        <v>32</v>
      </c>
      <c r="E28" s="9">
        <v>461.554669</v>
      </c>
      <c r="F28" s="9">
        <f t="shared" si="1"/>
        <v>460</v>
      </c>
      <c r="H28" s="13"/>
    </row>
  </sheetData>
  <customSheetViews>
    <customSheetView guid="{86D36E03-787A-41EB-85FF-8BB8A222055B}" scale="120" showGridLines="0" topLeftCell="A30">
      <selection activeCell="H41" sqref="H41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 topLeftCell="A30">
      <selection activeCell="H41" sqref="H41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 topLeftCell="A30">
      <selection activeCell="H41" sqref="H41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>
      <selection activeCell="F18" sqref="F18"/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>
      <selection activeCell="F20" sqref="F20"/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>
      <selection activeCell="F20" sqref="F20"/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>
      <selection activeCell="F20" sqref="F20"/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>
      <selection activeCell="F20" sqref="F20"/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>
      <selection activeCell="F20" sqref="F20"/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>
      <selection activeCell="F20" sqref="F20"/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 topLeftCell="A30">
      <selection activeCell="F20" sqref="F20"/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 topLeftCell="A16">
      <selection activeCell="F20" sqref="F20"/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>
      <selection activeCell="F5" sqref="F5"/>
      <pageMargins left="0.7" right="0.7" top="0.75" bottom="0.75" header="0.3" footer="0.3"/>
      <pageSetup paperSize="1" orientation="portrait"/>
      <headerFooter/>
    </customSheetView>
  </customSheetViews>
  <mergeCells count="2">
    <mergeCell ref="I7:M9"/>
    <mergeCell ref="I22:M24"/>
  </mergeCell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M35"/>
  <sheetViews>
    <sheetView showGridLines="0" topLeftCell="A21" workbookViewId="0">
      <selection activeCell="G29" sqref="G29"/>
    </sheetView>
  </sheetViews>
  <sheetFormatPr defaultColWidth="9" defaultRowHeight="14.5"/>
  <cols>
    <col min="2" max="2" width="5.13636363636364" customWidth="1"/>
    <col min="3" max="3" width="13.5727272727273" customWidth="1"/>
    <col min="4" max="4" width="12.4272727272727" customWidth="1"/>
    <col min="5" max="5" width="14.2818181818182" customWidth="1"/>
    <col min="6" max="6" width="28.1363636363636" customWidth="1"/>
    <col min="7" max="7" width="15" customWidth="1"/>
    <col min="8" max="8" width="7" customWidth="1"/>
    <col min="10" max="10" width="7.42727272727273" customWidth="1"/>
    <col min="11" max="11" width="7.13636363636364" customWidth="1"/>
    <col min="12" max="12" width="7.85454545454545" customWidth="1"/>
    <col min="13" max="13" width="8" customWidth="1"/>
  </cols>
  <sheetData>
    <row r="5" ht="18.5" spans="3:13">
      <c r="C5" s="8" t="s">
        <v>23</v>
      </c>
      <c r="D5" s="8" t="s">
        <v>24</v>
      </c>
      <c r="E5" s="8" t="s">
        <v>25</v>
      </c>
      <c r="F5" s="8" t="s">
        <v>35</v>
      </c>
    </row>
    <row r="6" ht="18.5" spans="3:13">
      <c r="C6" s="9" t="s">
        <v>27</v>
      </c>
      <c r="D6" s="9" t="s">
        <v>28</v>
      </c>
      <c r="E6" s="9">
        <v>787.8569</v>
      </c>
      <c r="F6" s="9">
        <f>MROUND(E6,1)</f>
        <v>788</v>
      </c>
    </row>
    <row r="7" ht="18.5" spans="3:13">
      <c r="C7" s="9" t="s">
        <v>29</v>
      </c>
      <c r="D7" s="9" t="s">
        <v>28</v>
      </c>
      <c r="E7" s="9">
        <v>457.2344</v>
      </c>
      <c r="F7" s="9">
        <f t="shared" ref="F7:F14" si="0">MROUND(E7,1)</f>
        <v>457</v>
      </c>
    </row>
    <row r="8" ht="18.5" spans="3:13">
      <c r="C8" s="9" t="s">
        <v>27</v>
      </c>
      <c r="D8" s="9" t="s">
        <v>30</v>
      </c>
      <c r="E8" s="9">
        <v>411.3445</v>
      </c>
      <c r="F8" s="9">
        <f t="shared" si="0"/>
        <v>411</v>
      </c>
      <c r="I8" s="12" t="s">
        <v>36</v>
      </c>
      <c r="J8" s="12"/>
      <c r="K8" s="12"/>
      <c r="L8" s="12"/>
      <c r="M8" s="12"/>
    </row>
    <row r="9" ht="18.5" spans="3:13">
      <c r="C9" s="9" t="s">
        <v>29</v>
      </c>
      <c r="D9" s="9" t="s">
        <v>30</v>
      </c>
      <c r="E9" s="9">
        <v>506.122</v>
      </c>
      <c r="F9" s="9">
        <f t="shared" si="0"/>
        <v>506</v>
      </c>
      <c r="I9" s="12"/>
      <c r="J9" s="12"/>
      <c r="K9" s="12"/>
      <c r="L9" s="12"/>
      <c r="M9" s="12"/>
    </row>
    <row r="10" ht="18.5" spans="3:13">
      <c r="C10" s="9" t="s">
        <v>27</v>
      </c>
      <c r="D10" s="9" t="s">
        <v>32</v>
      </c>
      <c r="E10" s="9">
        <v>370.3321</v>
      </c>
      <c r="F10" s="9">
        <f t="shared" si="0"/>
        <v>370</v>
      </c>
    </row>
    <row r="11" ht="18.5" spans="3:13">
      <c r="C11" s="9" t="s">
        <v>29</v>
      </c>
      <c r="D11" s="9" t="s">
        <v>32</v>
      </c>
      <c r="E11" s="9">
        <v>713.8989</v>
      </c>
      <c r="F11" s="9">
        <f t="shared" si="0"/>
        <v>714</v>
      </c>
    </row>
    <row r="12" ht="18.5" spans="3:13">
      <c r="C12" s="9" t="s">
        <v>27</v>
      </c>
      <c r="D12" s="9" t="s">
        <v>28</v>
      </c>
      <c r="E12" s="9">
        <v>346.4576</v>
      </c>
      <c r="F12" s="9">
        <f t="shared" si="0"/>
        <v>346</v>
      </c>
    </row>
    <row r="13" ht="18.5" spans="3:13">
      <c r="C13" s="9" t="s">
        <v>29</v>
      </c>
      <c r="D13" s="9" t="s">
        <v>30</v>
      </c>
      <c r="E13" s="9">
        <v>691.64987</v>
      </c>
      <c r="F13" s="9">
        <f t="shared" si="0"/>
        <v>692</v>
      </c>
    </row>
    <row r="14" ht="18.5" spans="3:13">
      <c r="C14" s="9" t="s">
        <v>29</v>
      </c>
      <c r="D14" s="9" t="s">
        <v>32</v>
      </c>
      <c r="E14" s="9">
        <v>461.554669</v>
      </c>
      <c r="F14" s="9">
        <f t="shared" si="0"/>
        <v>462</v>
      </c>
    </row>
    <row r="26" ht="18.5" spans="3:13">
      <c r="C26" s="8" t="s">
        <v>23</v>
      </c>
      <c r="D26" s="8" t="s">
        <v>24</v>
      </c>
      <c r="E26" s="8" t="s">
        <v>25</v>
      </c>
      <c r="F26" s="8" t="s">
        <v>37</v>
      </c>
    </row>
    <row r="27" ht="18.5" spans="3:13">
      <c r="C27" s="9" t="s">
        <v>27</v>
      </c>
      <c r="D27" s="9" t="s">
        <v>28</v>
      </c>
      <c r="E27" s="9">
        <v>787.8569</v>
      </c>
      <c r="F27" s="9">
        <f>MROUND(E27,5)</f>
        <v>790</v>
      </c>
    </row>
    <row r="28" ht="18.5" spans="3:13">
      <c r="C28" s="9" t="s">
        <v>29</v>
      </c>
      <c r="D28" s="9" t="s">
        <v>28</v>
      </c>
      <c r="E28" s="9">
        <v>457.2344</v>
      </c>
      <c r="F28" s="9">
        <f t="shared" ref="F28:F35" si="1">MROUND(E28,5)</f>
        <v>455</v>
      </c>
    </row>
    <row r="29" ht="18.5" spans="3:13">
      <c r="C29" s="9" t="s">
        <v>27</v>
      </c>
      <c r="D29" s="9" t="s">
        <v>30</v>
      </c>
      <c r="E29" s="9">
        <v>411.3445</v>
      </c>
      <c r="F29" s="9">
        <f t="shared" si="1"/>
        <v>410</v>
      </c>
      <c r="I29" s="12" t="s">
        <v>38</v>
      </c>
      <c r="J29" s="12"/>
      <c r="K29" s="12"/>
      <c r="L29" s="12"/>
      <c r="M29" s="12"/>
    </row>
    <row r="30" ht="18.5" spans="3:13">
      <c r="C30" s="9" t="s">
        <v>29</v>
      </c>
      <c r="D30" s="9" t="s">
        <v>30</v>
      </c>
      <c r="E30" s="9">
        <v>506.122</v>
      </c>
      <c r="F30" s="9">
        <f t="shared" si="1"/>
        <v>505</v>
      </c>
      <c r="I30" s="12"/>
      <c r="J30" s="12"/>
      <c r="K30" s="12"/>
      <c r="L30" s="12"/>
      <c r="M30" s="12"/>
    </row>
    <row r="31" ht="18.5" spans="3:13">
      <c r="C31" s="9" t="s">
        <v>27</v>
      </c>
      <c r="D31" s="9" t="s">
        <v>32</v>
      </c>
      <c r="E31" s="9">
        <v>370.3321</v>
      </c>
      <c r="F31" s="9">
        <f t="shared" si="1"/>
        <v>370</v>
      </c>
    </row>
    <row r="32" ht="18.5" spans="3:13">
      <c r="C32" s="9" t="s">
        <v>29</v>
      </c>
      <c r="D32" s="9" t="s">
        <v>32</v>
      </c>
      <c r="E32" s="9">
        <v>713.8989</v>
      </c>
      <c r="F32" s="9">
        <f t="shared" si="1"/>
        <v>715</v>
      </c>
    </row>
    <row r="33" ht="18.5" spans="3:6">
      <c r="C33" s="9" t="s">
        <v>27</v>
      </c>
      <c r="D33" s="9" t="s">
        <v>28</v>
      </c>
      <c r="E33" s="9">
        <v>346.4576</v>
      </c>
      <c r="F33" s="9">
        <f t="shared" si="1"/>
        <v>345</v>
      </c>
    </row>
    <row r="34" ht="18.5" spans="3:6">
      <c r="C34" s="9" t="s">
        <v>29</v>
      </c>
      <c r="D34" s="9" t="s">
        <v>30</v>
      </c>
      <c r="E34" s="9">
        <v>691.64987</v>
      </c>
      <c r="F34" s="9">
        <f t="shared" si="1"/>
        <v>690</v>
      </c>
    </row>
    <row r="35" ht="18.5" spans="3:6">
      <c r="C35" s="9" t="s">
        <v>29</v>
      </c>
      <c r="D35" s="9" t="s">
        <v>32</v>
      </c>
      <c r="E35" s="9">
        <v>461.554669</v>
      </c>
      <c r="F35" s="9">
        <f t="shared" si="1"/>
        <v>460</v>
      </c>
    </row>
  </sheetData>
  <mergeCells count="2">
    <mergeCell ref="I8:M9"/>
    <mergeCell ref="I29:M30"/>
  </mergeCell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C4:L28"/>
  <sheetViews>
    <sheetView showGridLines="0" tabSelected="1" topLeftCell="A15" workbookViewId="0">
      <selection activeCell="G21" sqref="G21"/>
    </sheetView>
  </sheetViews>
  <sheetFormatPr defaultColWidth="9" defaultRowHeight="14.5"/>
  <cols>
    <col min="3" max="3" width="13.5727272727273" customWidth="1"/>
    <col min="4" max="4" width="12.4272727272727" customWidth="1"/>
    <col min="5" max="5" width="14.2818181818182" customWidth="1"/>
    <col min="6" max="6" width="28.1363636363636" customWidth="1"/>
  </cols>
  <sheetData>
    <row r="4" ht="18.5" spans="3:12">
      <c r="C4" s="8" t="s">
        <v>23</v>
      </c>
      <c r="D4" s="8" t="s">
        <v>24</v>
      </c>
      <c r="E4" s="8" t="s">
        <v>25</v>
      </c>
      <c r="F4" s="8" t="s">
        <v>39</v>
      </c>
    </row>
    <row r="5" ht="18.5" spans="3:12">
      <c r="C5" s="9" t="s">
        <v>27</v>
      </c>
      <c r="D5" s="9" t="s">
        <v>28</v>
      </c>
      <c r="E5" s="9">
        <v>787</v>
      </c>
      <c r="F5" s="9">
        <f>CEILING(E5,50)</f>
        <v>800</v>
      </c>
    </row>
    <row r="6" ht="18.5" spans="3:12">
      <c r="C6" s="9" t="s">
        <v>29</v>
      </c>
      <c r="D6" s="9" t="s">
        <v>28</v>
      </c>
      <c r="E6" s="9">
        <v>457</v>
      </c>
      <c r="F6" s="9">
        <f t="shared" ref="F6:F13" si="0">CEILING(E6,50)</f>
        <v>500</v>
      </c>
    </row>
    <row r="7" ht="18.75" customHeight="1" spans="3:12">
      <c r="C7" s="9" t="s">
        <v>27</v>
      </c>
      <c r="D7" s="9" t="s">
        <v>30</v>
      </c>
      <c r="E7" s="9">
        <v>411</v>
      </c>
      <c r="F7" s="9">
        <f t="shared" si="0"/>
        <v>450</v>
      </c>
      <c r="H7" s="10" t="s">
        <v>40</v>
      </c>
      <c r="I7" s="10"/>
      <c r="J7" s="10"/>
      <c r="K7" s="10"/>
      <c r="L7" s="10"/>
    </row>
    <row r="8" ht="18.5" spans="3:12">
      <c r="C8" s="9" t="s">
        <v>29</v>
      </c>
      <c r="D8" s="9" t="s">
        <v>30</v>
      </c>
      <c r="E8" s="9">
        <v>506</v>
      </c>
      <c r="F8" s="9">
        <f t="shared" si="0"/>
        <v>550</v>
      </c>
      <c r="H8" s="10"/>
      <c r="I8" s="10"/>
      <c r="J8" s="10"/>
      <c r="K8" s="10"/>
      <c r="L8" s="10"/>
    </row>
    <row r="9" ht="18.5" spans="3:12">
      <c r="C9" s="9" t="s">
        <v>27</v>
      </c>
      <c r="D9" s="9" t="s">
        <v>32</v>
      </c>
      <c r="E9" s="9">
        <v>370</v>
      </c>
      <c r="F9" s="9">
        <f t="shared" si="0"/>
        <v>400</v>
      </c>
    </row>
    <row r="10" ht="18.5" spans="3:12">
      <c r="C10" s="9" t="s">
        <v>29</v>
      </c>
      <c r="D10" s="9" t="s">
        <v>32</v>
      </c>
      <c r="E10" s="9">
        <v>713</v>
      </c>
      <c r="F10" s="9">
        <f t="shared" si="0"/>
        <v>750</v>
      </c>
    </row>
    <row r="11" ht="18.5" spans="3:12">
      <c r="C11" s="9" t="s">
        <v>27</v>
      </c>
      <c r="D11" s="9" t="s">
        <v>28</v>
      </c>
      <c r="E11" s="9">
        <v>346</v>
      </c>
      <c r="F11" s="9">
        <f t="shared" si="0"/>
        <v>350</v>
      </c>
    </row>
    <row r="12" ht="18.5" spans="3:12">
      <c r="C12" s="9" t="s">
        <v>29</v>
      </c>
      <c r="D12" s="9" t="s">
        <v>30</v>
      </c>
      <c r="E12" s="9">
        <v>691</v>
      </c>
      <c r="F12" s="9">
        <f t="shared" si="0"/>
        <v>700</v>
      </c>
    </row>
    <row r="13" ht="18.5" spans="3:12">
      <c r="C13" s="9" t="s">
        <v>29</v>
      </c>
      <c r="D13" s="9" t="s">
        <v>32</v>
      </c>
      <c r="E13" s="9">
        <v>461</v>
      </c>
      <c r="F13" s="9">
        <f t="shared" si="0"/>
        <v>500</v>
      </c>
    </row>
    <row r="19" ht="18.5" spans="3:12">
      <c r="C19" s="8" t="s">
        <v>23</v>
      </c>
      <c r="D19" s="8" t="s">
        <v>24</v>
      </c>
      <c r="E19" s="8" t="s">
        <v>25</v>
      </c>
      <c r="F19" s="8" t="s">
        <v>41</v>
      </c>
    </row>
    <row r="20" ht="18.5" spans="3:12">
      <c r="C20" s="9" t="s">
        <v>27</v>
      </c>
      <c r="D20" s="9" t="s">
        <v>28</v>
      </c>
      <c r="E20" s="9">
        <v>787</v>
      </c>
      <c r="F20" s="9">
        <f>FLOOR(E20,25)</f>
        <v>775</v>
      </c>
    </row>
    <row r="21" ht="18.5" spans="3:12">
      <c r="C21" s="9" t="s">
        <v>29</v>
      </c>
      <c r="D21" s="9" t="s">
        <v>28</v>
      </c>
      <c r="E21" s="9">
        <v>457</v>
      </c>
      <c r="F21" s="9">
        <f t="shared" ref="F21:F28" si="1">FLOOR(E21,25)</f>
        <v>450</v>
      </c>
    </row>
    <row r="22" ht="18.75" customHeight="1" spans="3:12">
      <c r="C22" s="9" t="s">
        <v>27</v>
      </c>
      <c r="D22" s="9" t="s">
        <v>30</v>
      </c>
      <c r="E22" s="9">
        <v>411</v>
      </c>
      <c r="F22" s="9">
        <f t="shared" si="1"/>
        <v>400</v>
      </c>
      <c r="H22" s="11" t="s">
        <v>42</v>
      </c>
      <c r="I22" s="11"/>
      <c r="J22" s="11"/>
      <c r="K22" s="11"/>
      <c r="L22" s="11"/>
    </row>
    <row r="23" ht="18.5" spans="3:12">
      <c r="C23" s="9" t="s">
        <v>29</v>
      </c>
      <c r="D23" s="9" t="s">
        <v>30</v>
      </c>
      <c r="E23" s="9">
        <v>506</v>
      </c>
      <c r="F23" s="9">
        <f t="shared" si="1"/>
        <v>500</v>
      </c>
      <c r="H23" s="11"/>
      <c r="I23" s="11"/>
      <c r="J23" s="11"/>
      <c r="K23" s="11"/>
      <c r="L23" s="11"/>
    </row>
    <row r="24" ht="18.5" spans="3:12">
      <c r="C24" s="9" t="s">
        <v>27</v>
      </c>
      <c r="D24" s="9" t="s">
        <v>32</v>
      </c>
      <c r="E24" s="9">
        <v>370</v>
      </c>
      <c r="F24" s="9">
        <f t="shared" si="1"/>
        <v>350</v>
      </c>
    </row>
    <row r="25" ht="18.5" spans="3:12">
      <c r="C25" s="9" t="s">
        <v>29</v>
      </c>
      <c r="D25" s="9" t="s">
        <v>32</v>
      </c>
      <c r="E25" s="9">
        <v>713</v>
      </c>
      <c r="F25" s="9">
        <f t="shared" si="1"/>
        <v>700</v>
      </c>
    </row>
    <row r="26" ht="18.5" spans="3:12">
      <c r="C26" s="9" t="s">
        <v>27</v>
      </c>
      <c r="D26" s="9" t="s">
        <v>28</v>
      </c>
      <c r="E26" s="9">
        <v>346</v>
      </c>
      <c r="F26" s="9">
        <f t="shared" si="1"/>
        <v>325</v>
      </c>
    </row>
    <row r="27" ht="18.5" spans="3:12">
      <c r="C27" s="9" t="s">
        <v>29</v>
      </c>
      <c r="D27" s="9" t="s">
        <v>30</v>
      </c>
      <c r="E27" s="9">
        <v>691</v>
      </c>
      <c r="F27" s="9">
        <f t="shared" si="1"/>
        <v>675</v>
      </c>
    </row>
    <row r="28" ht="18.5" spans="3:12">
      <c r="C28" s="9" t="s">
        <v>29</v>
      </c>
      <c r="D28" s="9" t="s">
        <v>32</v>
      </c>
      <c r="E28" s="9">
        <v>461</v>
      </c>
      <c r="F28" s="9">
        <f t="shared" si="1"/>
        <v>450</v>
      </c>
    </row>
  </sheetData>
  <customSheetViews>
    <customSheetView guid="{86D36E03-787A-41EB-85FF-8BB8A222055B}" scale="120" showGridLines="0" topLeftCell="A15">
      <selection activeCell="F20" sqref="F20"/>
      <pageMargins left="0.7" right="0.7" top="0.75" bottom="0.75" header="0.3" footer="0.3"/>
      <headerFooter/>
    </customSheetView>
    <customSheetView guid="{08E755F8-82E9-4D95-862B-81F55FBDDDF6}" scale="120" showGridLines="0" topLeftCell="A15">
      <selection activeCell="F20" sqref="F20"/>
      <pageMargins left="0.7" right="0.7" top="0.75" bottom="0.75" header="0.3" footer="0.3"/>
      <headerFooter/>
    </customSheetView>
    <customSheetView guid="{C453A932-6110-4A84-A9C2-26C809391387}" scale="120" showGridLines="0" topLeftCell="A15">
      <selection activeCell="F20" sqref="F20"/>
      <pageMargins left="0.7" right="0.7" top="0.75" bottom="0.75" header="0.3" footer="0.3"/>
      <headerFooter/>
    </customSheetView>
    <customSheetView guid="{0BF42E77-7016-4BE4-A5AB-A49974630D91}" scale="120">
      <selection activeCell="F4" sqref="F4"/>
      <pageMargins left="0.7" right="0.7" top="0.75" bottom="0.75" header="0.3" footer="0.3"/>
      <headerFooter/>
    </customSheetView>
    <customSheetView guid="{B19B24CB-B859-49E3-8AE0-2D671510EE4F}" scale="120">
      <selection activeCell="F4" sqref="F4"/>
      <pageMargins left="0.7" right="0.7" top="0.75" bottom="0.75" header="0.3" footer="0.3"/>
      <headerFooter/>
    </customSheetView>
    <customSheetView guid="{D9413B31-FDB2-4AE8-80A8-7F09954E703C}" scale="120">
      <selection activeCell="F4" sqref="F4"/>
      <pageMargins left="0.7" right="0.7" top="0.75" bottom="0.75" header="0.3" footer="0.3"/>
      <headerFooter/>
    </customSheetView>
    <customSheetView guid="{FF03E81F-A9A8-4546-A9C3-77A6EEA02ED9}" scale="120">
      <selection activeCell="F4" sqref="F4"/>
      <pageMargins left="0.7" right="0.7" top="0.75" bottom="0.75" header="0.3" footer="0.3"/>
      <headerFooter/>
    </customSheetView>
    <customSheetView guid="{EE811897-5BF5-4321-9879-5B7EDF90A350}" scale="120">
      <selection activeCell="F4" sqref="F4"/>
      <pageMargins left="0.7" right="0.7" top="0.75" bottom="0.75" header="0.3" footer="0.3"/>
      <headerFooter/>
    </customSheetView>
    <customSheetView guid="{0E02FCC8-6440-4859-9F6B-C77617EF5D89}" scale="120">
      <selection activeCell="F4" sqref="F4"/>
      <pageMargins left="0.7" right="0.7" top="0.75" bottom="0.75" header="0.3" footer="0.3"/>
      <headerFooter/>
    </customSheetView>
    <customSheetView guid="{0458C18D-9EF5-4516-9145-CA54D8EB1865}" scale="120">
      <selection activeCell="F4" sqref="F4"/>
      <pageMargins left="0.7" right="0.7" top="0.75" bottom="0.75" header="0.3" footer="0.3"/>
      <headerFooter/>
    </customSheetView>
    <customSheetView guid="{DFE0B66A-2DCB-4802-A91B-F836707AD43C}" scale="120">
      <selection activeCell="F4" sqref="F4"/>
      <pageMargins left="0.7" right="0.7" top="0.75" bottom="0.75" header="0.3" footer="0.3"/>
      <headerFooter/>
    </customSheetView>
    <customSheetView guid="{3511E245-32F9-4CFF-8540-6B03C6FAE218}" scale="120" showGridLines="0">
      <selection activeCell="F4" sqref="F4"/>
      <pageMargins left="0.7" right="0.7" top="0.75" bottom="0.75" header="0.3" footer="0.3"/>
      <headerFooter/>
    </customSheetView>
    <customSheetView guid="{CE50DC7E-3038-4337-BAC8-5B16EE1D95B0}" scale="120" showGridLines="0">
      <selection activeCell="F4" sqref="F4"/>
      <pageMargins left="0.7" right="0.7" top="0.75" bottom="0.75" header="0.3" footer="0.3"/>
      <headerFooter/>
    </customSheetView>
    <customSheetView guid="{C908A6D6-4C77-416B-BC46-6F501B5F842F}" scale="120" showGridLines="0">
      <selection activeCell="F4" sqref="F4"/>
      <pageMargins left="0.7" right="0.7" top="0.75" bottom="0.75" header="0.3" footer="0.3"/>
      <headerFooter/>
    </customSheetView>
    <customSheetView guid="{C575B46A-1D4C-489C-97AE-5DAB6560E171}" scale="120" showGridLines="0">
      <selection activeCell="F4" sqref="F4"/>
      <pageMargins left="0.7" right="0.7" top="0.75" bottom="0.75" header="0.3" footer="0.3"/>
      <headerFooter/>
    </customSheetView>
    <customSheetView guid="{81DEBAD0-6E86-4DFB-8642-C52E8C976BDA}" scale="120" showGridLines="0">
      <selection activeCell="F4" sqref="F4"/>
      <pageMargins left="0.7" right="0.7" top="0.75" bottom="0.75" header="0.3" footer="0.3"/>
      <headerFooter/>
    </customSheetView>
    <customSheetView guid="{58306194-C83B-413E-AC5F-AD717216CB21}" scale="120" showGridLines="0">
      <selection activeCell="F4" sqref="F4"/>
      <pageMargins left="0.7" right="0.7" top="0.75" bottom="0.75" header="0.3" footer="0.3"/>
      <headerFooter/>
    </customSheetView>
    <customSheetView guid="{E4375DB4-4B74-46BC-A9F2-C5C5055B366F}" scale="120" showGridLines="0">
      <selection activeCell="F4" sqref="F4"/>
      <pageMargins left="0.7" right="0.7" top="0.75" bottom="0.75" header="0.3" footer="0.3"/>
      <headerFooter/>
    </customSheetView>
    <customSheetView guid="{2CEDB1FB-2942-4B51-BF30-285DCDB05292}" scale="120" showGridLines="0">
      <selection activeCell="F4" sqref="F4"/>
      <pageMargins left="0.7" right="0.7" top="0.75" bottom="0.75" header="0.3" footer="0.3"/>
      <headerFooter/>
    </customSheetView>
    <customSheetView guid="{DF16608F-40E8-490E-B08D-ED6EEAB8B9EC}" scale="120" showGridLines="0">
      <selection activeCell="F4" sqref="F4"/>
      <pageMargins left="0.7" right="0.7" top="0.75" bottom="0.75" header="0.3" footer="0.3"/>
      <headerFooter/>
    </customSheetView>
    <customSheetView guid="{2032DE14-E33D-44B5-9022-A2B48F059704}" scale="120">
      <selection activeCell="F4" sqref="F4"/>
      <pageMargins left="0.7" right="0.7" top="0.75" bottom="0.75" header="0.3" footer="0.3"/>
      <headerFooter/>
    </customSheetView>
    <customSheetView guid="{EE4A95A5-BF42-4BAA-B9EB-84A9230A28F9}" scale="120">
      <selection activeCell="F4" sqref="F4"/>
      <pageMargins left="0.7" right="0.7" top="0.75" bottom="0.75" header="0.3" footer="0.3"/>
      <headerFooter/>
    </customSheetView>
    <customSheetView guid="{8BEA0E04-8B9A-4A2D-9B80-4E7685E22D5E}" scale="120">
      <selection activeCell="F4" sqref="F4"/>
      <pageMargins left="0.7" right="0.7" top="0.75" bottom="0.75" header="0.3" footer="0.3"/>
      <headerFooter/>
    </customSheetView>
    <customSheetView guid="{0125BE01-BBC8-4E5A-9A9A-3D1257916B8C}" scale="120" showGridLines="0">
      <selection activeCell="F20" sqref="F20"/>
      <pageMargins left="0.7" right="0.7" top="0.75" bottom="0.75" header="0.3" footer="0.3"/>
      <headerFooter/>
    </customSheetView>
    <customSheetView guid="{7A9AB605-DB82-470C-B86B-95E2AB3523F6}" scale="120" showGridLines="0" topLeftCell="A15">
      <selection activeCell="F20" sqref="F20"/>
      <pageMargins left="0.7" right="0.7" top="0.75" bottom="0.75" header="0.3" footer="0.3"/>
      <headerFooter/>
    </customSheetView>
    <customSheetView guid="{FC8D231F-57F9-45EE-9DEF-D7ED111600EB}" scale="120">
      <selection activeCell="F4" sqref="F4"/>
      <pageMargins left="0.7" right="0.7" top="0.75" bottom="0.75" header="0.3" footer="0.3"/>
      <headerFooter/>
    </customSheetView>
    <customSheetView guid="{395DC3D6-3299-4A43-88E2-62703FCC0349}" scale="120">
      <selection activeCell="F4" sqref="F4"/>
      <pageMargins left="0.7" right="0.7" top="0.75" bottom="0.75" header="0.3" footer="0.3"/>
      <headerFooter/>
    </customSheetView>
    <customSheetView guid="{5C8F4C13-387F-42D2-8CB5-92C4886D7919}" scale="120">
      <selection activeCell="F4" sqref="F4"/>
      <pageMargins left="0.7" right="0.7" top="0.75" bottom="0.75" header="0.3" footer="0.3"/>
      <headerFooter/>
    </customSheetView>
    <customSheetView guid="{8A25BF65-C908-4B2F-9805-3CD39BD4330E}" scale="120">
      <selection activeCell="F4" sqref="F4"/>
      <pageMargins left="0.7" right="0.7" top="0.75" bottom="0.75" header="0.3" footer="0.3"/>
      <headerFooter/>
    </customSheetView>
    <customSheetView guid="{F9A03991-7A83-41AE-B603-3D22265CDA22}" scale="120">
      <selection activeCell="F4" sqref="F4"/>
      <pageMargins left="0.7" right="0.7" top="0.75" bottom="0.75" header="0.3" footer="0.3"/>
      <headerFooter/>
    </customSheetView>
    <customSheetView guid="{FEB5A49F-F7F7-412A-BE72-F90F7A4799C8}" scale="120">
      <selection activeCell="F4" sqref="F4"/>
      <pageMargins left="0.7" right="0.7" top="0.75" bottom="0.75" header="0.3" footer="0.3"/>
      <headerFooter/>
    </customSheetView>
    <customSheetView guid="{F518ECB9-5D92-41E0-BFD2-C5175A02444D}" scale="120">
      <selection activeCell="F4" sqref="F4"/>
      <pageMargins left="0.7" right="0.7" top="0.75" bottom="0.75" header="0.3" footer="0.3"/>
      <headerFooter/>
    </customSheetView>
    <customSheetView guid="{BCAB4838-A37A-4BCF-A9C9-CC50C95F58C7}" scale="120">
      <selection activeCell="F4" sqref="F4"/>
      <pageMargins left="0.7" right="0.7" top="0.75" bottom="0.75" header="0.3" footer="0.3"/>
      <headerFooter/>
    </customSheetView>
    <customSheetView guid="{E1A67331-473F-4161-806C-BE35870C93B5}" scale="120">
      <selection activeCell="F4" sqref="F4"/>
      <pageMargins left="0.7" right="0.7" top="0.75" bottom="0.75" header="0.3" footer="0.3"/>
      <headerFooter/>
    </customSheetView>
    <customSheetView guid="{CC562453-1E6B-4010-9E1B-775397A26EFA}" scale="120">
      <selection activeCell="F4" sqref="F4"/>
      <pageMargins left="0.7" right="0.7" top="0.75" bottom="0.75" header="0.3" footer="0.3"/>
      <headerFooter/>
    </customSheetView>
    <customSheetView guid="{644A6A80-0D34-48F6-A071-17016DCD2D6E}" scale="120">
      <selection activeCell="F4" sqref="F4"/>
      <pageMargins left="0.7" right="0.7" top="0.75" bottom="0.75" header="0.3" footer="0.3"/>
      <headerFooter/>
    </customSheetView>
    <customSheetView guid="{C65059E8-30E8-488B-A0E9-1B7961920C81}" scale="120">
      <selection activeCell="F4" sqref="F4"/>
      <pageMargins left="0.7" right="0.7" top="0.75" bottom="0.75" header="0.3" footer="0.3"/>
      <headerFooter/>
    </customSheetView>
    <customSheetView guid="{95D39BA8-2B16-4954-ABAC-09AD33A86339}" scale="120">
      <selection activeCell="F4" sqref="F4"/>
      <pageMargins left="0.7" right="0.7" top="0.75" bottom="0.75" header="0.3" footer="0.3"/>
      <headerFooter/>
    </customSheetView>
    <customSheetView guid="{25A4A7C0-9593-456C-861C-76D101D3FE93}" scale="120">
      <selection activeCell="F4" sqref="F4"/>
      <pageMargins left="0.7" right="0.7" top="0.75" bottom="0.75" header="0.3" footer="0.3"/>
      <headerFooter/>
    </customSheetView>
    <customSheetView guid="{51BA8A3D-4711-49ED-89E2-EBC09DF2AEDC}" scale="120">
      <selection activeCell="F4" sqref="F4"/>
      <pageMargins left="0.7" right="0.7" top="0.75" bottom="0.75" header="0.3" footer="0.3"/>
      <headerFooter/>
    </customSheetView>
    <customSheetView guid="{629A478C-29B1-4F25-A016-63CE32A1627F}" scale="120">
      <selection activeCell="F4" sqref="F4"/>
      <pageMargins left="0.7" right="0.7" top="0.75" bottom="0.75" header="0.3" footer="0.3"/>
      <headerFooter/>
    </customSheetView>
    <customSheetView guid="{F789A6E6-3D06-4D93-BF02-46FA1A2548B2}" scale="120">
      <selection activeCell="F4" sqref="F4"/>
      <pageMargins left="0.7" right="0.7" top="0.75" bottom="0.75" header="0.3" footer="0.3"/>
      <headerFooter/>
    </customSheetView>
    <customSheetView guid="{15D7A002-B247-4A6B-A16B-61BDD9B0066A}" scale="120">
      <selection activeCell="F4" sqref="F4"/>
      <pageMargins left="0.7" right="0.7" top="0.75" bottom="0.75" header="0.3" footer="0.3"/>
      <headerFooter/>
    </customSheetView>
    <customSheetView guid="{9AFCAA87-4888-4976-A7C9-C06A34CB6C97}" scale="120">
      <selection activeCell="F4" sqref="F4"/>
      <pageMargins left="0.7" right="0.7" top="0.75" bottom="0.75" header="0.3" footer="0.3"/>
      <headerFooter/>
    </customSheetView>
    <customSheetView guid="{E4FF7DB9-14DF-49DB-9F59-1898DDED4DCE}" scale="120">
      <selection activeCell="F4" sqref="F4"/>
      <pageMargins left="0.7" right="0.7" top="0.75" bottom="0.75" header="0.3" footer="0.3"/>
      <headerFooter/>
    </customSheetView>
    <customSheetView guid="{EC7537C6-1678-41C1-B788-EF4AFFECF769}" scale="120">
      <selection activeCell="F4" sqref="F4"/>
      <pageMargins left="0.7" right="0.7" top="0.75" bottom="0.75" header="0.3" footer="0.3"/>
      <headerFooter/>
    </customSheetView>
    <customSheetView guid="{1920E7A3-1C9F-4320-81BB-D11544051025}" scale="120">
      <selection activeCell="F4" sqref="F4"/>
      <pageMargins left="0.7" right="0.7" top="0.75" bottom="0.75" header="0.3" footer="0.3"/>
      <headerFooter/>
    </customSheetView>
    <customSheetView guid="{02D27969-4CD1-473E-A0E8-856AB0664DE8}" scale="120">
      <selection activeCell="F4" sqref="F4"/>
      <pageMargins left="0.7" right="0.7" top="0.75" bottom="0.75" header="0.3" footer="0.3"/>
      <headerFooter/>
    </customSheetView>
    <customSheetView guid="{422703F6-63C4-435C-AFE7-1030286678F6}" scale="120">
      <selection activeCell="F4" sqref="F4"/>
      <pageMargins left="0.7" right="0.7" top="0.75" bottom="0.75" header="0.3" footer="0.3"/>
      <headerFooter/>
    </customSheetView>
    <customSheetView guid="{F3CB97AD-592C-4B6E-8AE3-1CD47479060C}" scale="120">
      <selection activeCell="F4" sqref="F4"/>
      <pageMargins left="0.7" right="0.7" top="0.75" bottom="0.75" header="0.3" footer="0.3"/>
      <headerFooter/>
    </customSheetView>
    <customSheetView guid="{19DA6E7F-8950-4769-9BBE-2798EFA465A3}" scale="120">
      <selection activeCell="F4" sqref="F4"/>
      <pageMargins left="0.7" right="0.7" top="0.75" bottom="0.75" header="0.3" footer="0.3"/>
      <headerFooter/>
    </customSheetView>
    <customSheetView guid="{47C01131-7443-4080-A2BB-6B6AA35C6913}" scale="120">
      <selection activeCell="F4" sqref="F4"/>
      <pageMargins left="0.7" right="0.7" top="0.75" bottom="0.75" header="0.3" footer="0.3"/>
      <headerFooter/>
    </customSheetView>
    <customSheetView guid="{C7330417-67A9-44CF-917F-5F5E2F191AD4}" scale="120">
      <selection activeCell="F4" sqref="F4"/>
      <pageMargins left="0.7" right="0.7" top="0.75" bottom="0.75" header="0.3" footer="0.3"/>
      <headerFooter/>
    </customSheetView>
    <customSheetView guid="{EBA5E9C4-A2DB-4DF0-BF75-1243E968318E}" scale="120">
      <selection activeCell="F4" sqref="F4"/>
      <pageMargins left="0.7" right="0.7" top="0.75" bottom="0.75" header="0.3" footer="0.3"/>
      <headerFooter/>
    </customSheetView>
    <customSheetView guid="{7A7FC9A5-F2B5-4894-82BC-4528575F10D4}" scale="120">
      <selection activeCell="F4" sqref="F4"/>
      <pageMargins left="0.7" right="0.7" top="0.75" bottom="0.75" header="0.3" footer="0.3"/>
      <headerFooter/>
    </customSheetView>
    <customSheetView guid="{6194C141-D0A1-4D58-BA55-90A184525AC3}" scale="120">
      <selection activeCell="F4" sqref="F4"/>
      <pageMargins left="0.7" right="0.7" top="0.75" bottom="0.75" header="0.3" footer="0.3"/>
      <headerFooter/>
    </customSheetView>
    <customSheetView guid="{A5292A6B-6F92-4AB3-B051-EF87F39FC489}" scale="120">
      <selection activeCell="F4" sqref="F4"/>
      <pageMargins left="0.7" right="0.7" top="0.75" bottom="0.75" header="0.3" footer="0.3"/>
      <headerFooter/>
    </customSheetView>
  </customSheetViews>
  <mergeCells count="2">
    <mergeCell ref="H7:L8"/>
    <mergeCell ref="H22:L23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M16"/>
  <sheetViews>
    <sheetView showGridLines="0" zoomScale="130" zoomScaleNormal="130" workbookViewId="0">
      <selection activeCell="D7" sqref="D7"/>
    </sheetView>
  </sheetViews>
  <sheetFormatPr defaultColWidth="8.85454545454546" defaultRowHeight="15.5"/>
  <cols>
    <col min="1" max="1" width="6.28181818181818" style="1" customWidth="1"/>
    <col min="2" max="2" width="24.7090909090909" style="1" customWidth="1"/>
    <col min="3" max="3" width="15.8545454545455" style="1" customWidth="1"/>
    <col min="4" max="4" width="13.2818181818182" style="1" customWidth="1"/>
    <col min="5" max="5" width="13.1363636363636" style="1" customWidth="1"/>
    <col min="6" max="6" width="14.7090909090909" style="1" customWidth="1"/>
    <col min="7" max="7" width="18.4272727272727" style="1" customWidth="1"/>
    <col min="8" max="9" width="6.28181818181818" style="2" customWidth="1"/>
    <col min="10" max="10" width="9.70909090909091" style="2" customWidth="1"/>
    <col min="11" max="16384" width="8.85454545454546" style="2"/>
  </cols>
  <sheetData>
    <row r="1" spans="1:13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4" t="s">
        <v>49</v>
      </c>
    </row>
    <row r="2" spans="1:13">
      <c r="A2" s="5">
        <v>1</v>
      </c>
      <c r="B2" s="5" t="s">
        <v>50</v>
      </c>
      <c r="C2" s="5">
        <v>311</v>
      </c>
      <c r="D2" s="5">
        <v>9.32</v>
      </c>
      <c r="E2" s="5">
        <v>141</v>
      </c>
      <c r="F2" s="5" t="s">
        <v>51</v>
      </c>
      <c r="G2" s="1" t="str" cm="1">
        <f t="array" ref="G2">_xlfn.IFS(C2&gt;100,"Centi Billionaire",C2&lt;100,"Multi Billionaire",C2=100,"Centi Billionaire")</f>
        <v>Centi Billionaire</v>
      </c>
      <c r="H2" s="6" t="str">
        <f>_xlfn.IFS(C2&lt;100,"Multi Billionaire",C2&gt;100,"Centi Billionaire")</f>
        <v>Centi Billionaire</v>
      </c>
      <c r="I2" s="6"/>
    </row>
    <row r="3" spans="1:13">
      <c r="A3" s="5">
        <v>2</v>
      </c>
      <c r="B3" s="5" t="s">
        <v>52</v>
      </c>
      <c r="C3" s="5">
        <v>195</v>
      </c>
      <c r="D3" s="5">
        <v>3.79</v>
      </c>
      <c r="E3" s="5">
        <v>5.06</v>
      </c>
      <c r="F3" s="5" t="s">
        <v>51</v>
      </c>
      <c r="G3" s="1" t="str" cm="1">
        <f t="array" ref="G3">_xlfn.IFS(C3&gt;100,"Centi Billionaire",C3&lt;100,"Multi Billionaire",C3=100,"Centi Billionaire")</f>
        <v>Centi Billionaire</v>
      </c>
      <c r="H3" s="6" t="str">
        <f t="shared" ref="H3:H16" si="0">_xlfn.IFS(C3&lt;100,"Multi Billionaire",C3&gt;100,"Centi Billionaire")</f>
        <v>Centi Billionaire</v>
      </c>
      <c r="I3" s="6"/>
    </row>
    <row r="4" spans="1:13">
      <c r="A4" s="5">
        <v>3</v>
      </c>
      <c r="B4" s="5" t="s">
        <v>53</v>
      </c>
      <c r="C4" s="5">
        <v>167</v>
      </c>
      <c r="D4" s="5">
        <v>544</v>
      </c>
      <c r="E4" s="5">
        <v>52.7</v>
      </c>
      <c r="F4" s="5" t="s">
        <v>54</v>
      </c>
      <c r="G4" s="1" t="str" cm="1">
        <f t="array" ref="G4">_xlfn.IFS(C4&gt;100,"Centi Billionaire",C4&lt;100,"Multi Billionaire",C4=100,"Centi Billionaire")</f>
        <v>Centi Billionaire</v>
      </c>
      <c r="H4" s="6" t="str">
        <f t="shared" si="0"/>
        <v>Centi Billionaire</v>
      </c>
      <c r="I4" s="6"/>
    </row>
    <row r="5" spans="1:13">
      <c r="A5" s="5">
        <v>4</v>
      </c>
      <c r="B5" s="5" t="s">
        <v>55</v>
      </c>
      <c r="C5" s="5">
        <v>136</v>
      </c>
      <c r="D5" s="5">
        <v>906</v>
      </c>
      <c r="E5" s="5">
        <v>4.4</v>
      </c>
      <c r="F5" s="5" t="s">
        <v>51</v>
      </c>
      <c r="G5" s="1" t="str" cm="1">
        <f t="array" ref="G5">_xlfn.IFS(C5&gt;100,"Centi Billionaire",C5&lt;100,"Multi Billionaire",C5=100,"Centi Billionaire")</f>
        <v>Centi Billionaire</v>
      </c>
      <c r="H5" s="6" t="str">
        <f t="shared" si="0"/>
        <v>Centi Billionaire</v>
      </c>
      <c r="I5" s="6"/>
    </row>
    <row r="6" spans="1:13">
      <c r="A6" s="5">
        <v>5</v>
      </c>
      <c r="B6" s="5" t="s">
        <v>56</v>
      </c>
      <c r="C6" s="5">
        <v>131</v>
      </c>
      <c r="D6" s="5">
        <v>1.71</v>
      </c>
      <c r="E6" s="5">
        <v>48.7</v>
      </c>
      <c r="F6" s="5" t="s">
        <v>51</v>
      </c>
      <c r="G6" s="1" t="str" cm="1">
        <f t="array" ref="G6">_xlfn.IFS(C6&gt;100,"Centi Billionaire",C6&lt;100,"Multi Billionaire",C6=100,"Centi Billionaire")</f>
        <v>Centi Billionaire</v>
      </c>
      <c r="H6" s="6" t="str">
        <f t="shared" si="0"/>
        <v>Centi Billionaire</v>
      </c>
      <c r="I6" s="6"/>
    </row>
    <row r="7" ht="14.45" customHeight="1" spans="1:13">
      <c r="A7" s="5">
        <v>6</v>
      </c>
      <c r="B7" s="5" t="s">
        <v>57</v>
      </c>
      <c r="C7" s="5">
        <v>126</v>
      </c>
      <c r="D7" s="5">
        <v>1.64</v>
      </c>
      <c r="E7" s="5">
        <v>46.7</v>
      </c>
      <c r="F7" s="5" t="s">
        <v>51</v>
      </c>
      <c r="G7" s="1" t="str" cm="1">
        <f t="array" ref="G7">_xlfn.IFS(C7&gt;100,"Centi Billionaire",C7&lt;100,"Multi Billionaire",C7=100,"Centi Billionaire")</f>
        <v>Centi Billionaire</v>
      </c>
      <c r="H7" s="6" t="str">
        <f t="shared" si="0"/>
        <v>Centi Billionaire</v>
      </c>
      <c r="I7" s="6"/>
      <c r="J7" s="7" t="s">
        <v>58</v>
      </c>
      <c r="K7" s="7"/>
      <c r="L7" s="7"/>
      <c r="M7" s="7"/>
    </row>
    <row r="8" spans="1:13">
      <c r="A8" s="5">
        <v>7</v>
      </c>
      <c r="B8" s="5" t="s">
        <v>59</v>
      </c>
      <c r="C8" s="5">
        <v>100</v>
      </c>
      <c r="D8" s="5">
        <v>2.4</v>
      </c>
      <c r="E8" s="5">
        <v>17.3</v>
      </c>
      <c r="F8" s="5" t="s">
        <v>51</v>
      </c>
      <c r="G8" s="1" t="e" cm="1">
        <f t="array" ref="G8">_xlfn.IFS(C8&gt;100,"Centi Billionaire",C8&lt;100,"Multi Billionaire")</f>
        <v>#N/A</v>
      </c>
      <c r="H8" s="6" t="e">
        <f t="shared" si="0"/>
        <v>#N/A</v>
      </c>
      <c r="I8" s="6"/>
      <c r="J8" s="7"/>
      <c r="K8" s="7"/>
      <c r="L8" s="7"/>
      <c r="M8" s="7"/>
    </row>
    <row r="9" spans="1:13">
      <c r="A9" s="5">
        <v>8</v>
      </c>
      <c r="B9" s="5" t="s">
        <v>60</v>
      </c>
      <c r="C9" s="5">
        <v>118</v>
      </c>
      <c r="D9" s="5">
        <v>2.42</v>
      </c>
      <c r="E9" s="5">
        <v>37.6</v>
      </c>
      <c r="F9" s="5" t="s">
        <v>51</v>
      </c>
      <c r="G9" s="1" t="str" cm="1">
        <f t="array" ref="G9">_xlfn.IFS(C9&gt;100,"Centi Billionaire",C9&lt;100,"Multi Billionaire",C9=100,"Centi Billionaire")</f>
        <v>Centi Billionaire</v>
      </c>
      <c r="H9" s="6" t="str">
        <f t="shared" si="0"/>
        <v>Centi Billionaire</v>
      </c>
      <c r="I9" s="6"/>
      <c r="J9" s="7"/>
      <c r="K9" s="7"/>
      <c r="L9" s="7"/>
      <c r="M9" s="7"/>
    </row>
    <row r="10" spans="1:13">
      <c r="A10" s="5">
        <v>9</v>
      </c>
      <c r="B10" s="5" t="s">
        <v>61</v>
      </c>
      <c r="C10" s="5">
        <v>115</v>
      </c>
      <c r="D10" s="5">
        <v>331</v>
      </c>
      <c r="E10" s="5">
        <v>35.4</v>
      </c>
      <c r="F10" s="5" t="s">
        <v>51</v>
      </c>
      <c r="G10" s="1" t="str" cm="1">
        <f t="array" ref="G10">_xlfn.IFS(C10&gt;100,"Centi Billionaire",C10&lt;100,"Multi Billionaire",C10=100,"Centi Billionaire")</f>
        <v>Centi Billionaire</v>
      </c>
      <c r="H10" s="6" t="str">
        <f t="shared" si="0"/>
        <v>Centi Billionaire</v>
      </c>
      <c r="I10" s="6"/>
      <c r="J10" s="7"/>
      <c r="K10" s="7"/>
      <c r="L10" s="7"/>
      <c r="M10" s="7"/>
    </row>
    <row r="11" spans="1:13">
      <c r="A11" s="5">
        <v>10</v>
      </c>
      <c r="B11" s="5" t="s">
        <v>62</v>
      </c>
      <c r="C11" s="5">
        <v>105</v>
      </c>
      <c r="D11" s="5">
        <v>800</v>
      </c>
      <c r="E11" s="5">
        <v>17</v>
      </c>
      <c r="F11" s="5" t="s">
        <v>51</v>
      </c>
      <c r="G11" s="1" t="str" cm="1">
        <f t="array" ref="G11">_xlfn.IFS(C11&gt;100,"Centi Billionaire",C11&lt;100,"Multi Billionaire",C11=100,"Centi Billionaire")</f>
        <v>Centi Billionaire</v>
      </c>
      <c r="H11" s="6" t="str">
        <f t="shared" si="0"/>
        <v>Centi Billionaire</v>
      </c>
      <c r="I11" s="6"/>
      <c r="J11" s="7"/>
      <c r="K11" s="7"/>
      <c r="L11" s="7"/>
      <c r="M11" s="7"/>
    </row>
    <row r="12" spans="1:13">
      <c r="A12" s="5">
        <v>11</v>
      </c>
      <c r="B12" s="5" t="s">
        <v>63</v>
      </c>
      <c r="C12" s="5">
        <v>95.8</v>
      </c>
      <c r="D12" s="5">
        <v>2.56</v>
      </c>
      <c r="E12" s="5">
        <v>19.1</v>
      </c>
      <c r="F12" s="5" t="s">
        <v>64</v>
      </c>
      <c r="G12" s="1" t="str" cm="1">
        <f t="array" ref="G12">_xlfn.IFS(C12&gt;100,"Centi Billionaire",C12&lt;100,"Multi Billionaire",C12=100,"Centi Billionaire")</f>
        <v>Multi Billionaire</v>
      </c>
      <c r="H12" s="6" t="str">
        <f t="shared" si="0"/>
        <v>Multi Billionaire</v>
      </c>
      <c r="I12" s="6"/>
      <c r="J12" s="7"/>
      <c r="K12" s="7"/>
      <c r="L12" s="7"/>
      <c r="M12" s="7"/>
    </row>
    <row r="13" spans="1:13">
      <c r="A13" s="5">
        <v>12</v>
      </c>
      <c r="B13" s="5" t="s">
        <v>65</v>
      </c>
      <c r="C13" s="5">
        <v>90.4</v>
      </c>
      <c r="D13" s="5">
        <v>597</v>
      </c>
      <c r="E13" s="5">
        <v>14.6</v>
      </c>
      <c r="F13" s="5" t="s">
        <v>54</v>
      </c>
      <c r="G13" s="1" t="str" cm="1">
        <f t="array" ref="G13">_xlfn.IFS(C13&gt;100,"Centi Billionaire",C13&lt;100,"Multi Billionaire",C13=100,"Centi Billionaire")</f>
        <v>Multi Billionaire</v>
      </c>
      <c r="H13" s="6" t="str">
        <f t="shared" si="0"/>
        <v>Multi Billionaire</v>
      </c>
      <c r="I13" s="6"/>
      <c r="J13" s="7"/>
      <c r="K13" s="7"/>
      <c r="L13" s="7"/>
      <c r="M13" s="7"/>
    </row>
    <row r="14" spans="1:13">
      <c r="A14" s="5">
        <v>13</v>
      </c>
      <c r="B14" s="5" t="s">
        <v>66</v>
      </c>
      <c r="C14" s="5">
        <v>99.65</v>
      </c>
      <c r="D14" s="5">
        <v>2.52</v>
      </c>
      <c r="E14" s="5">
        <v>43.3</v>
      </c>
      <c r="F14" s="5" t="s">
        <v>64</v>
      </c>
      <c r="G14" s="1" t="str" cm="1">
        <f t="array" ref="G14">_xlfn.IFS(C14&gt;100,"Centi Billionaire",C14&lt;100,"Multi Billionaire",C14=100,"Centi Billionaire")</f>
        <v>Multi Billionaire</v>
      </c>
      <c r="H14" s="6" t="str">
        <f t="shared" si="0"/>
        <v>Multi Billionaire</v>
      </c>
      <c r="I14" s="6"/>
      <c r="J14" s="7"/>
      <c r="K14" s="7"/>
      <c r="L14" s="7"/>
      <c r="M14" s="7"/>
    </row>
    <row r="15" spans="1:13">
      <c r="A15" s="5">
        <v>14</v>
      </c>
      <c r="B15" s="5" t="s">
        <v>67</v>
      </c>
      <c r="C15" s="5">
        <v>77</v>
      </c>
      <c r="D15" s="5">
        <v>532</v>
      </c>
      <c r="E15" s="5">
        <v>10.5</v>
      </c>
      <c r="F15" s="5" t="s">
        <v>68</v>
      </c>
      <c r="G15" s="1" t="str" cm="1">
        <f t="array" ref="G15">_xlfn.IFS(C15&gt;100,"Centi Billionaire",C15&lt;100,"Multi Billionaire",C15=100,"Centi Billionaire")</f>
        <v>Multi Billionaire</v>
      </c>
      <c r="H15" s="6" t="str">
        <f t="shared" si="0"/>
        <v>Multi Billionaire</v>
      </c>
      <c r="I15" s="6"/>
      <c r="J15" s="7"/>
      <c r="K15" s="7"/>
      <c r="L15" s="7"/>
      <c r="M15" s="7"/>
    </row>
    <row r="16" spans="1:13">
      <c r="A16" s="5">
        <v>15</v>
      </c>
      <c r="B16" s="5" t="s">
        <v>69</v>
      </c>
      <c r="C16" s="5">
        <v>66.5</v>
      </c>
      <c r="D16" s="5">
        <v>315</v>
      </c>
      <c r="E16" s="5">
        <v>4.02</v>
      </c>
      <c r="F16" s="5" t="s">
        <v>51</v>
      </c>
      <c r="G16" s="1" t="str" cm="1">
        <f t="array" ref="G16">_xlfn.IFS(C16&gt;100,"Centi Billionaire",C16&lt;100,"Multi Billionaire",C16=100,"Centi Billionaire")</f>
        <v>Multi Billionaire</v>
      </c>
      <c r="H16" s="6" t="str">
        <f t="shared" si="0"/>
        <v>Multi Billionaire</v>
      </c>
      <c r="I16" s="6"/>
    </row>
  </sheetData>
  <customSheetViews>
    <customSheetView guid="{86D36E03-787A-41EB-85FF-8BB8A222055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8E755F8-82E9-4D95-862B-81F55FBDDDF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453A932-6110-4A84-A9C2-26C80939138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BF42E77-7016-4BE4-A5AB-A49974630D9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B19B24CB-B859-49E3-8AE0-2D671510EE4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D9413B31-FDB2-4AE8-80A8-7F09954E703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F03E81F-A9A8-4546-A9C3-77A6EEA02ED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E811897-5BF5-4321-9879-5B7EDF90A35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E02FCC8-6440-4859-9F6B-C77617EF5D8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458C18D-9EF5-4516-9145-CA54D8EB1865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DFE0B66A-2DCB-4802-A91B-F836707AD43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3511E245-32F9-4CFF-8540-6B03C6FAE21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E50DC7E-3038-4337-BAC8-5B16EE1D95B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908A6D6-4C77-416B-BC46-6F501B5F842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575B46A-1D4C-489C-97AE-5DAB6560E17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1DEBAD0-6E86-4DFB-8642-C52E8C976BDA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8306194-C83B-413E-AC5F-AD717216CB2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4375DB4-4B74-46BC-A9F2-C5C5055B366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2CEDB1FB-2942-4B51-BF30-285DCDB0529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DF16608F-40E8-490E-B08D-ED6EEAB8B9E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2032DE14-E33D-44B5-9022-A2B48F05970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E4A95A5-BF42-4BAA-B9EB-84A9230A28F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BEA0E04-8B9A-4A2D-9B80-4E7685E22D5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125BE01-BBC8-4E5A-9A9A-3D1257916B8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7A9AB605-DB82-470C-B86B-95E2AB3523F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C8D231F-57F9-45EE-9DEF-D7ED111600E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395DC3D6-3299-4A43-88E2-62703FCC034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C8F4C13-387F-42D2-8CB5-92C4886D791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A25BF65-C908-4B2F-9805-3CD39BD4330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9A03991-7A83-41AE-B603-3D22265CDA2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EB5A49F-F7F7-412A-BE72-F90F7A4799C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518ECB9-5D92-41E0-BFD2-C5175A02444D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BCAB4838-A37A-4BCF-A9C9-CC50C95F58C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1A67331-473F-4161-806C-BE35870C93B5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C562453-1E6B-4010-9E1B-775397A26EFA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44A6A80-0D34-48F6-A071-17016DCD2D6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65059E8-30E8-488B-A0E9-1B7961920C8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95D39BA8-2B16-4954-ABAC-09AD33A8633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25A4A7C0-9593-456C-861C-76D101D3FE9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1BA8A3D-4711-49ED-89E2-EBC09DF2AED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29A478C-29B1-4F25-A016-63CE32A1627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789A6E6-3D06-4D93-BF02-46FA1A2548B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15D7A002-B247-4A6B-A16B-61BDD9B0066A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9AFCAA87-4888-4976-A7C9-C06A34CB6C9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4FF7DB9-14DF-49DB-9F59-1898DDED4DC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C7537C6-1678-41C1-B788-EF4AFFECF76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1920E7A3-1C9F-4320-81BB-D11544051025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2D27969-4CD1-473E-A0E8-856AB0664DE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422703F6-63C4-435C-AFE7-1030286678F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3CB97AD-592C-4B6E-8AE3-1CD47479060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19DA6E7F-8950-4769-9BBE-2798EFA465A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47C01131-7443-4080-A2BB-6B6AA35C691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7330417-67A9-44CF-917F-5F5E2F191AD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BA5E9C4-A2DB-4DF0-BF75-1243E968318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7A7FC9A5-F2B5-4894-82BC-4528575F10D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194C141-D0A1-4D58-BA55-90A184525AC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A5292A6B-6F92-4AB3-B051-EF87F39FC48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090DFAD-A23A-4678-87F2-095D84EBDDE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4F11E31F-E14C-416D-BB97-C8CE74658FB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2A17A28-A3DF-492D-BAE9-AAEF2A13397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F332A92-7271-4FEC-B085-C15AA232FE2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B1EB7F4-EF59-450E-A531-475C3A6E615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EBF087E-11C5-42EE-B564-FAEE72C86C1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716839F-5448-40FC-95BC-286199FD676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712F22D-DF79-4936-B86B-186E637372B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72B3D91-11D6-418C-A856-9FF74CE5E6F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B4753E1-B7DC-40C2-A28F-B07A6CB075F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F2006E2-DE9B-4938-AD6F-8255BE7D529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BFB30CE-F6D9-44B3-99BA-62858BF4660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3977DAC-58A9-43A5-A2CD-037AE84A393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18774DE-EF27-4708-91D7-FE2A7EE4C99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102CDDA-1DB7-4BD5-8A8F-CD564048559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A3C7F73E-8288-4122-801A-9A426BB0DFB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1FEC2CE-0AE0-4F12-8438-BD3D230D383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76A445C-3D9A-438D-AC68-B679E3D6563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</customSheetViews>
  <mergeCells count="1">
    <mergeCell ref="J7:M15"/>
  </mergeCells>
  <conditionalFormatting sqref="G2:G16">
    <cfRule type="expression" dxfId="0" priority="1">
      <formula>$G2=$H2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Round</vt:lpstr>
      <vt:lpstr>RUP, RDown &amp; MRound</vt:lpstr>
      <vt:lpstr>MRound</vt:lpstr>
      <vt:lpstr>Floor &amp; Ceiling</vt:lpstr>
      <vt:lpstr>IFS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WPS_1787045862</cp:lastModifiedBy>
  <dcterms:created xsi:type="dcterms:W3CDTF">2022-03-05T05:03:00Z</dcterms:created>
  <dcterms:modified xsi:type="dcterms:W3CDTF">2026-10-23T14:19:14Z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3DC563287F434247903FBE2F18C55778_12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